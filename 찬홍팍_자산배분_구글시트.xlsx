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자산배분" sheetId="1" state="visible" r:id="rId1"/>
    <sheet name="사용법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#,##0.####"/>
    <numFmt numFmtId="166" formatCode="0.0%"/>
    <numFmt numFmtId="167" formatCode="mm-dd hh:mm"/>
  </numFmts>
  <fonts count="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0B5394"/>
      <sz val="10"/>
    </font>
    <font>
      <name val="Arial"/>
      <sz val="10"/>
    </font>
    <font>
      <name val="Arial"/>
      <color rgb="00666666"/>
      <sz val="9"/>
    </font>
    <font>
      <name val="Arial"/>
      <color rgb="00CC0000"/>
      <sz val="9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38761D"/>
      </patternFill>
    </fill>
    <fill>
      <patternFill patternType="solid">
        <fgColor rgb="00EFEFEF"/>
      </patternFill>
    </fill>
    <fill>
      <patternFill patternType="solid">
        <fgColor rgb="00D9EAD3"/>
      </patternFill>
    </fill>
  </fills>
  <borders count="2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9" fontId="0" fillId="0" borderId="18" applyAlignment="1" pivotButton="0" quotePrefix="0" xfId="0">
      <alignment vertical="center"/>
    </xf>
    <xf numFmtId="9" fontId="0" fillId="0" borderId="19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9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2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22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4" fillId="4" borderId="22" applyAlignment="1" pivotButton="0" quotePrefix="0" xfId="0">
      <alignment horizontal="left" vertical="center"/>
    </xf>
    <xf numFmtId="164" fontId="5" fillId="0" borderId="22" applyAlignment="1" pivotButton="0" quotePrefix="0" xfId="0">
      <alignment horizontal="right" vertical="center"/>
    </xf>
    <xf numFmtId="164" fontId="4" fillId="4" borderId="22" applyAlignment="1" pivotButton="0" quotePrefix="0" xfId="0">
      <alignment horizontal="right" vertical="center"/>
    </xf>
    <xf numFmtId="165" fontId="4" fillId="4" borderId="22" applyAlignment="1" pivotButton="0" quotePrefix="0" xfId="0">
      <alignment horizontal="right" vertical="center"/>
    </xf>
    <xf numFmtId="3" fontId="5" fillId="0" borderId="22" applyAlignment="1" pivotButton="0" quotePrefix="0" xfId="0">
      <alignment horizontal="right" vertical="center"/>
    </xf>
    <xf numFmtId="3" fontId="3" fillId="0" borderId="22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1" applyAlignment="1" pivotButton="0" quotePrefix="0" xfId="0">
      <alignment horizontal="right"/>
    </xf>
    <xf numFmtId="166" fontId="4" fillId="4" borderId="22" applyAlignment="1" pivotButton="0" quotePrefix="0" xfId="0">
      <alignment horizontal="right" vertical="center"/>
    </xf>
    <xf numFmtId="166" fontId="3" fillId="0" borderId="22" applyAlignment="1" pivotButton="0" quotePrefix="0" xfId="0">
      <alignment horizontal="right" vertical="center"/>
    </xf>
    <xf numFmtId="0" fontId="7" fillId="0" borderId="22" applyAlignment="1" pivotButton="0" quotePrefix="0" xfId="0">
      <alignment horizontal="left" vertical="center"/>
    </xf>
    <xf numFmtId="0" fontId="0" fillId="0" borderId="22" pivotButton="0" quotePrefix="0" xfId="0"/>
    <xf numFmtId="0" fontId="6" fillId="0" borderId="22" applyAlignment="1" pivotButton="0" quotePrefix="0" xfId="0">
      <alignment horizontal="center" vertical="center"/>
    </xf>
    <xf numFmtId="166" fontId="5" fillId="0" borderId="22" applyAlignment="1" pivotButton="0" quotePrefix="0" xfId="0">
      <alignment horizontal="right" vertical="center"/>
    </xf>
    <xf numFmtId="167" fontId="5" fillId="0" borderId="22" applyAlignment="1" pivotButton="0" quotePrefix="0" xfId="0">
      <alignment horizontal="right" vertical="center"/>
    </xf>
    <xf numFmtId="165" fontId="5" fillId="0" borderId="22" applyAlignment="1" pivotButton="0" quotePrefix="0" xfId="0">
      <alignment horizontal="right" vertical="center"/>
    </xf>
    <xf numFmtId="0" fontId="4" fillId="4" borderId="22" applyAlignment="1" pivotButton="0" quotePrefix="0" xfId="0">
      <alignment horizontal="center" vertical="center"/>
    </xf>
    <xf numFmtId="0" fontId="3" fillId="3" borderId="22" applyAlignment="1" pivotButton="0" quotePrefix="0" xfId="0">
      <alignment horizontal="center" vertical="center"/>
    </xf>
    <xf numFmtId="0" fontId="0" fillId="3" borderId="22" pivotButton="0" quotePrefix="0" xfId="0"/>
    <xf numFmtId="165" fontId="3" fillId="3" borderId="22" applyAlignment="1" pivotButton="0" quotePrefix="0" xfId="0">
      <alignment horizontal="right" vertical="center"/>
    </xf>
    <xf numFmtId="3" fontId="3" fillId="3" borderId="22" applyAlignment="1" pivotButton="0" quotePrefix="0" xfId="0">
      <alignment horizontal="right" vertical="center"/>
    </xf>
    <xf numFmtId="166" fontId="3" fillId="3" borderId="22" applyAlignment="1" pivotButton="0" quotePrefix="0" xfId="0">
      <alignment horizontal="right" vertical="center"/>
    </xf>
    <xf numFmtId="0" fontId="8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top"/>
    </xf>
    <xf numFmtId="0" fontId="3" fillId="0" borderId="0" pivotButton="0" quotePrefix="0" xfId="0"/>
    <xf numFmtId="0" fontId="5" fillId="4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찬홍팍</author>
  </authors>
  <commentList>
    <comment ref="B1" authorId="0" shapeId="0">
      <text>
        <t>오른쪽 [종목] 표에 있는 이름과 똑같이 적어야 현재가가 붙습니다.
이름이 다르면 현재가 칸에 "종목표에 없음" 이라고 뜹니다.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showGridLines="0" tabSelected="1" topLeftCell="E1" workbookViewId="0">
      <pane xSplit="1" ySplit="1" topLeftCell="B2" activePane="bottomRight" state="frozen"/>
      <selection pane="topRight"/>
      <selection pane="bottomLeft"/>
      <selection pane="bottomRight" activeCell="U3" sqref="U3"/>
    </sheetView>
  </sheetViews>
  <sheetFormatPr baseColWidth="8" defaultRowHeight="17.4"/>
  <cols>
    <col width="12.3984375" customWidth="1" style="23" min="1" max="1"/>
    <col width="29.69921875" customWidth="1" style="23" min="2" max="2"/>
    <col width="11" customWidth="1" style="23" min="3" max="3"/>
    <col width="11" customWidth="1" style="23" min="4" max="4"/>
    <col width="10" customWidth="1" style="23" min="5" max="5"/>
    <col width="13" customWidth="1" style="23" min="6" max="6"/>
    <col width="13" customWidth="1" style="23" min="7" max="7"/>
    <col width="2" customWidth="1" style="23" min="8" max="8"/>
    <col width="29.69921875" customWidth="1" style="23" min="9" max="9"/>
    <col width="13" customWidth="1" style="23" min="10" max="10"/>
    <col width="11" customWidth="1" style="23" min="11" max="11"/>
    <col width="11" customWidth="1" style="23" min="12" max="12"/>
    <col width="9" customWidth="1" style="23" min="13" max="13"/>
    <col width="9" customWidth="1" style="23" min="14" max="14"/>
    <col width="12" customWidth="1" style="23" min="15" max="15"/>
    <col width="10" customWidth="1" style="23" min="16" max="16"/>
    <col width="13" customWidth="1" style="23" min="17" max="17"/>
    <col width="10" customWidth="1" style="23" min="18" max="18"/>
    <col width="10" customWidth="1" style="23" min="19" max="19"/>
    <col width="13" customWidth="1" style="23" min="20" max="20"/>
    <col width="13" customWidth="1" style="23" min="21" max="21"/>
    <col width="11" customWidth="1" style="23" min="22" max="22"/>
    <col width="11" customWidth="1" style="23" min="23" max="23"/>
    <col width="12" customWidth="1" style="23" min="24" max="24"/>
  </cols>
  <sheetData>
    <row r="1" ht="18.6" customHeight="1" s="23" thickBot="1" thickTop="1">
      <c r="A1" s="24" t="inlineStr">
        <is>
          <t>계좌구분</t>
        </is>
      </c>
      <c r="B1" s="24" t="inlineStr">
        <is>
          <t>종목명</t>
        </is>
      </c>
      <c r="C1" s="24" t="inlineStr">
        <is>
          <t>현재가</t>
        </is>
      </c>
      <c r="D1" s="24" t="inlineStr">
        <is>
          <t>매입가</t>
        </is>
      </c>
      <c r="E1" s="24" t="inlineStr">
        <is>
          <t>수량</t>
        </is>
      </c>
      <c r="F1" s="24" t="inlineStr">
        <is>
          <t>평가금액</t>
        </is>
      </c>
      <c r="G1" s="24" t="inlineStr">
        <is>
          <t>계</t>
        </is>
      </c>
      <c r="I1" s="25" t="inlineStr">
        <is>
          <t>투자 합계</t>
        </is>
      </c>
      <c r="L1" s="26" t="inlineStr">
        <is>
          <t>미국</t>
        </is>
      </c>
      <c r="M1" s="26" t="inlineStr">
        <is>
          <t>일본</t>
        </is>
      </c>
      <c r="N1" s="26" t="inlineStr">
        <is>
          <t>중국</t>
        </is>
      </c>
      <c r="O1" s="26" t="inlineStr">
        <is>
          <t>한국</t>
        </is>
      </c>
      <c r="P1" s="26" t="inlineStr">
        <is>
          <t>인도</t>
        </is>
      </c>
      <c r="Q1" s="26" t="inlineStr">
        <is>
          <t>금</t>
        </is>
      </c>
      <c r="R1" s="26" t="inlineStr">
        <is>
          <t>비트코인</t>
        </is>
      </c>
      <c r="S1" s="26" t="inlineStr">
        <is>
          <t>이더리움</t>
        </is>
      </c>
      <c r="T1" s="26" t="inlineStr">
        <is>
          <t>현금</t>
        </is>
      </c>
      <c r="U1" s="24" t="inlineStr">
        <is>
          <t>합계</t>
        </is>
      </c>
    </row>
    <row r="2" ht="18.6" customHeight="1" s="23" thickBot="1" thickTop="1">
      <c r="A2" s="27" t="inlineStr">
        <is>
          <t>삼성 연금저축</t>
        </is>
      </c>
      <c r="B2" s="28" t="inlineStr">
        <is>
          <t>ACE 미국나스닥100</t>
        </is>
      </c>
      <c r="C2" s="29">
        <f>IF($B2="","",IFERROR(INDEX($K$6:$K$30,MATCH($B2,$I$6:$I$30,0)),"종목표에 없음"))</f>
        <v/>
      </c>
      <c r="D2" s="30" t="n"/>
      <c r="E2" s="31" t="n"/>
      <c r="F2" s="32">
        <f>IF($B2="","",IFERROR($C2*$E2,""))</f>
        <v/>
      </c>
      <c r="G2" s="33">
        <f>SUM($F2:$F8)</f>
        <v/>
      </c>
      <c r="I2" s="33">
        <f>SUM($F$2:$F$54)</f>
        <v/>
      </c>
      <c r="J2" s="34" t="n"/>
      <c r="K2" s="35" t="inlineStr">
        <is>
          <t>목표비율</t>
        </is>
      </c>
      <c r="L2" s="36" t="n">
        <v>0.45</v>
      </c>
      <c r="M2" s="36" t="n">
        <v>0.05</v>
      </c>
      <c r="N2" s="36" t="n">
        <v>0.2</v>
      </c>
      <c r="O2" s="36" t="n">
        <v>0.15</v>
      </c>
      <c r="P2" s="36" t="n">
        <v>0.15</v>
      </c>
      <c r="Q2" s="36" t="n">
        <v>0.12</v>
      </c>
      <c r="R2" s="36" t="n">
        <v>0.09</v>
      </c>
      <c r="S2" s="36" t="n">
        <v>0.03</v>
      </c>
      <c r="T2" s="36" t="n">
        <v>0.26</v>
      </c>
      <c r="U2" s="37">
        <f>SUM($L$2:$T$2)</f>
        <v/>
      </c>
      <c r="V2" s="38">
        <f>IF(ROUND($U$2,4)=1,"","목표비율 합이 100% 가 아닙니다")</f>
        <v/>
      </c>
    </row>
    <row r="3" ht="18.6" customHeight="1" s="23" thickBot="1" thickTop="1">
      <c r="A3" s="39" t="n"/>
      <c r="B3" s="28" t="inlineStr">
        <is>
          <t>TIGER  미국S&amp;P500</t>
        </is>
      </c>
      <c r="C3" s="29">
        <f>IF($B3="","",IFERROR(INDEX($K$6:$K$30,MATCH($B3,$I$6:$I$30,0)),"종목표에 없음"))</f>
        <v/>
      </c>
      <c r="D3" s="30" t="n"/>
      <c r="E3" s="31" t="n"/>
      <c r="F3" s="32">
        <f>IF($B3="","",IFERROR($C3*$E3,""))</f>
        <v/>
      </c>
      <c r="G3" s="39" t="n"/>
      <c r="I3" s="40">
        <f>IF(SUMPRODUCT(($B$2:$B$54&lt;&gt;"")*(COUNTIF($I$6:$I$30,$B$2:$B$54)=0))&gt;0,"왼쪽 종목명 "&amp;SUMPRODUCT(($B$2:$B$54&lt;&gt;"")*(COUNTIF($I$6:$I$30,$B$2:$B$54)=0))&amp;"개가 오른쪽 표에 없습니다",IF(ROUND(SUM($F$2:$F$54),0)=ROUND($Q$32,0),"계좌합계 = 종목합계 OK","계좌합계와 종목합계가 다릅니다"))</f>
        <v/>
      </c>
      <c r="K3" s="35" t="inlineStr">
        <is>
          <t>현재비율</t>
        </is>
      </c>
      <c r="L3" s="41">
        <f>IFERROR(SUMIF($W$6:$W$30,L$1,$Q$6:$Q$30)/$Q$32,"")</f>
        <v/>
      </c>
      <c r="M3" s="41">
        <f>IFERROR(SUMIF($W$6:$W$30,M$1,$Q$6:$Q$30)/$Q$32,"")</f>
        <v/>
      </c>
      <c r="N3" s="41">
        <f>IFERROR(SUMIF($W$6:$W$30,N$1,$Q$6:$Q$30)/$Q$32,"")</f>
        <v/>
      </c>
      <c r="O3" s="41">
        <f>IFERROR(SUMIF($W$6:$W$30,O$1,$Q$6:$Q$30)/$Q$32,"")</f>
        <v/>
      </c>
      <c r="P3" s="41">
        <f>IFERROR(SUMIF($W$6:$W$30,P$1,$Q$6:$Q$30)/$Q$32,"")</f>
        <v/>
      </c>
      <c r="Q3" s="41">
        <f>IFERROR(SUMIF($W$6:$W$30,Q$1,$Q$6:$Q$30)/$Q$32,"")</f>
        <v/>
      </c>
      <c r="R3" s="41">
        <f>IFERROR(SUMIF($W$6:$W$30,R$1,$Q$6:$Q$30)/$Q$32,"")</f>
        <v/>
      </c>
      <c r="S3" s="41">
        <f>IFERROR(SUMIF($W$6:$W$30,S$1,$Q$6:$Q$30)/$Q$32,"")</f>
        <v/>
      </c>
      <c r="T3" s="41">
        <f>IFERROR(SUMIF($W$6:$W$30,T$1,$Q$6:$Q$30)/$Q$32,"")</f>
        <v/>
      </c>
      <c r="U3" s="37">
        <f>SUM($L$3:$T$3)</f>
        <v/>
      </c>
    </row>
    <row r="4" ht="18.6" customHeight="1" s="23" thickBot="1" thickTop="1">
      <c r="A4" s="39" t="n"/>
      <c r="B4" s="28" t="inlineStr">
        <is>
          <t>SOL 미국배당다우존스</t>
        </is>
      </c>
      <c r="C4" s="29">
        <f>IF($B4="","",IFERROR(INDEX($K$6:$K$30,MATCH($B4,$I$6:$I$30,0)),"종목표에 없음"))</f>
        <v/>
      </c>
      <c r="D4" s="30" t="n"/>
      <c r="E4" s="31" t="n"/>
      <c r="F4" s="32">
        <f>IF($B4="","",IFERROR($C4*$E4,""))</f>
        <v/>
      </c>
      <c r="G4" s="39" t="n"/>
    </row>
    <row r="5" ht="18.6" customHeight="1" s="23" thickBot="1" thickTop="1">
      <c r="A5" s="39" t="n"/>
      <c r="B5" s="28" t="inlineStr">
        <is>
          <t>KODEX 200TR</t>
        </is>
      </c>
      <c r="C5" s="29">
        <f>IF($B5="","",IFERROR(INDEX($K$6:$K$30,MATCH($B5,$I$6:$I$30,0)),"종목표에 없음"))</f>
        <v/>
      </c>
      <c r="D5" s="30" t="n"/>
      <c r="E5" s="31" t="n"/>
      <c r="F5" s="32">
        <f>IF($B5="","",IFERROR($C5*$E5,""))</f>
        <v/>
      </c>
      <c r="G5" s="39" t="n"/>
      <c r="I5" s="24" t="inlineStr">
        <is>
          <t>종목</t>
        </is>
      </c>
      <c r="J5" s="24" t="inlineStr">
        <is>
          <t>종목코드</t>
        </is>
      </c>
      <c r="K5" s="24" t="inlineStr">
        <is>
          <t>현재가</t>
        </is>
      </c>
      <c r="L5" s="24" t="inlineStr">
        <is>
          <t>매입가</t>
        </is>
      </c>
      <c r="M5" s="24" t="inlineStr">
        <is>
          <t>대비</t>
        </is>
      </c>
      <c r="N5" s="24" t="inlineStr">
        <is>
          <t>등락률</t>
        </is>
      </c>
      <c r="O5" s="24" t="inlineStr">
        <is>
          <t>갱신시간</t>
        </is>
      </c>
      <c r="P5" s="24" t="inlineStr">
        <is>
          <t>수량</t>
        </is>
      </c>
      <c r="Q5" s="24" t="inlineStr">
        <is>
          <t>평가금액</t>
        </is>
      </c>
      <c r="R5" s="24" t="inlineStr">
        <is>
          <t>현재비중</t>
        </is>
      </c>
      <c r="S5" s="24" t="inlineStr">
        <is>
          <t>목표비중</t>
        </is>
      </c>
      <c r="T5" s="24" t="inlineStr">
        <is>
          <t>목표금액</t>
        </is>
      </c>
      <c r="U5" s="24" t="inlineStr">
        <is>
          <t>매매금액</t>
        </is>
      </c>
      <c r="V5" s="24" t="inlineStr">
        <is>
          <t>매매량</t>
        </is>
      </c>
      <c r="W5" s="24" t="inlineStr">
        <is>
          <t>자산군</t>
        </is>
      </c>
      <c r="X5" s="24" t="inlineStr">
        <is>
          <t>수동 현재가</t>
        </is>
      </c>
    </row>
    <row r="6" ht="18.6" customHeight="1" s="23" thickBot="1" thickTop="1">
      <c r="A6" s="39" t="n"/>
      <c r="B6" s="28" t="inlineStr">
        <is>
          <t>TIGER 일본니케이225</t>
        </is>
      </c>
      <c r="C6" s="29">
        <f>IF($B6="","",IFERROR(INDEX($K$6:$K$30,MATCH($B6,$I$6:$I$30,0)),"종목표에 없음"))</f>
        <v/>
      </c>
      <c r="D6" s="30" t="n"/>
      <c r="E6" s="31" t="n"/>
      <c r="F6" s="32">
        <f>IF($B6="","",IFERROR($C6*$E6,""))</f>
        <v/>
      </c>
      <c r="G6" s="39" t="n"/>
      <c r="I6" s="28" t="inlineStr">
        <is>
          <t>ACE 미국나스닥100</t>
        </is>
      </c>
      <c r="J6" s="28" t="n"/>
      <c r="K6" s="29">
        <f>IF($I6="","",IF($J6="",$X6,IFERROR(GOOGLEFINANCE($J6,"price"),$X6)))</f>
        <v/>
      </c>
      <c r="L6" s="29">
        <f>IF($I6="","",IFERROR(SUMPRODUCT(($B$2:$B$54=$I6)*$D$2:$D$54*$E$2:$E$54)/$P6,""))</f>
        <v/>
      </c>
      <c r="M6" s="29">
        <f>IF($J6="","",IFERROR(GOOGLEFINANCE($J6,"price")-GOOGLEFINANCE($J6,"closeyest"),""))</f>
        <v/>
      </c>
      <c r="N6" s="41">
        <f>IF($J6="","",IFERROR(GOOGLEFINANCE($J6,"changepct")/100,""))</f>
        <v/>
      </c>
      <c r="O6" s="42">
        <f>IF($J6="","",IFERROR(GOOGLEFINANCE($J6,"tradetime"),""))</f>
        <v/>
      </c>
      <c r="P6" s="43">
        <f>IF($I6="","",SUMIF($B$2:$B$54,$I6,$E$2:$E$54))</f>
        <v/>
      </c>
      <c r="Q6" s="32">
        <f>IF($I6="","",IFERROR($K6*$P6,""))</f>
        <v/>
      </c>
      <c r="R6" s="41">
        <f>IF($I6="","",IFERROR($Q6/$Q$32,""))</f>
        <v/>
      </c>
      <c r="S6" s="41">
        <f>IF($I6="","",IF($W6="","",IFERROR(INDEX($L$2:$T$2,MATCH($W6,$L$1:$T$1,0))*IF(SUMIF($W$6:$W$30,$W6,$Q$6:$Q$30)=0,1/COUNTIF($W$6:$W$30,$W6),$Q6/SUMIF($W$6:$W$30,$W6,$Q$6:$Q$30)),"")))</f>
        <v/>
      </c>
      <c r="T6" s="32">
        <f>IF($I6="","",IFERROR($S6*$Q$32,""))</f>
        <v/>
      </c>
      <c r="U6" s="32">
        <f>IF($I6="","",IFERROR($T6-$Q6,""))</f>
        <v/>
      </c>
      <c r="V6" s="43">
        <f>IF($I6="","",IFERROR($U6/$K6,""))</f>
        <v/>
      </c>
      <c r="W6" s="44" t="inlineStr">
        <is>
          <t>미국</t>
        </is>
      </c>
      <c r="X6" s="30" t="n"/>
    </row>
    <row r="7" ht="18.6" customHeight="1" s="23" thickBot="1" thickTop="1">
      <c r="A7" s="39" t="n"/>
      <c r="B7" s="28" t="inlineStr">
        <is>
          <t>KODEX 차이나CSI300</t>
        </is>
      </c>
      <c r="C7" s="29">
        <f>IF($B7="","",IFERROR(INDEX($K$6:$K$30,MATCH($B7,$I$6:$I$30,0)),"종목표에 없음"))</f>
        <v/>
      </c>
      <c r="D7" s="30" t="n"/>
      <c r="E7" s="31" t="n"/>
      <c r="F7" s="32">
        <f>IF($B7="","",IFERROR($C7*$E7,""))</f>
        <v/>
      </c>
      <c r="G7" s="39" t="n"/>
      <c r="I7" s="28" t="inlineStr">
        <is>
          <t>TIGER  미국S&amp;P500</t>
        </is>
      </c>
      <c r="J7" s="28" t="n"/>
      <c r="K7" s="29">
        <f>IF($I7="","",IF($J7="",$X7,IFERROR(GOOGLEFINANCE($J7,"price"),$X7)))</f>
        <v/>
      </c>
      <c r="L7" s="29">
        <f>IF($I7="","",IFERROR(SUMPRODUCT(($B$2:$B$54=$I7)*$D$2:$D$54*$E$2:$E$54)/$P7,""))</f>
        <v/>
      </c>
      <c r="M7" s="29">
        <f>IF($J7="","",IFERROR(GOOGLEFINANCE($J7,"price")-GOOGLEFINANCE($J7,"closeyest"),""))</f>
        <v/>
      </c>
      <c r="N7" s="41">
        <f>IF($J7="","",IFERROR(GOOGLEFINANCE($J7,"changepct")/100,""))</f>
        <v/>
      </c>
      <c r="O7" s="42">
        <f>IF($J7="","",IFERROR(GOOGLEFINANCE($J7,"tradetime"),""))</f>
        <v/>
      </c>
      <c r="P7" s="43">
        <f>IF($I7="","",SUMIF($B$2:$B$54,$I7,$E$2:$E$54))</f>
        <v/>
      </c>
      <c r="Q7" s="32">
        <f>IF($I7="","",IFERROR($K7*$P7,""))</f>
        <v/>
      </c>
      <c r="R7" s="41">
        <f>IF($I7="","",IFERROR($Q7/$Q$32,""))</f>
        <v/>
      </c>
      <c r="S7" s="41">
        <f>IF($I7="","",IF($W7="","",IFERROR(INDEX($L$2:$T$2,MATCH($W7,$L$1:$T$1,0))*IF(SUMIF($W$6:$W$30,$W7,$Q$6:$Q$30)=0,1/COUNTIF($W$6:$W$30,$W7),$Q7/SUMIF($W$6:$W$30,$W7,$Q$6:$Q$30)),"")))</f>
        <v/>
      </c>
      <c r="T7" s="32">
        <f>IF($I7="","",IFERROR($S7*$Q$32,""))</f>
        <v/>
      </c>
      <c r="U7" s="32">
        <f>IF($I7="","",IFERROR($T7-$Q7,""))</f>
        <v/>
      </c>
      <c r="V7" s="43">
        <f>IF($I7="","",IFERROR($U7/$K7,""))</f>
        <v/>
      </c>
      <c r="W7" s="44" t="inlineStr">
        <is>
          <t>미국</t>
        </is>
      </c>
      <c r="X7" s="30" t="n"/>
    </row>
    <row r="8" ht="18.6" customHeight="1" s="23" thickBot="1" thickTop="1">
      <c r="A8" s="39" t="n"/>
      <c r="B8" s="28" t="inlineStr">
        <is>
          <t>KODEX 인도Nifty50</t>
        </is>
      </c>
      <c r="C8" s="29">
        <f>IF($B8="","",IFERROR(INDEX($K$6:$K$30,MATCH($B8,$I$6:$I$30,0)),"종목표에 없음"))</f>
        <v/>
      </c>
      <c r="D8" s="30" t="n"/>
      <c r="E8" s="31" t="n"/>
      <c r="F8" s="32">
        <f>IF($B8="","",IFERROR($C8*$E8,""))</f>
        <v/>
      </c>
      <c r="G8" s="39" t="n"/>
      <c r="I8" s="28" t="inlineStr">
        <is>
          <t>SOL 미국배당다우존스</t>
        </is>
      </c>
      <c r="J8" s="28" t="n"/>
      <c r="K8" s="29">
        <f>IF($I8="","",IF($J8="",$X8,IFERROR(GOOGLEFINANCE($J8,"price"),$X8)))</f>
        <v/>
      </c>
      <c r="L8" s="29">
        <f>IF($I8="","",IFERROR(SUMPRODUCT(($B$2:$B$54=$I8)*$D$2:$D$54*$E$2:$E$54)/$P8,""))</f>
        <v/>
      </c>
      <c r="M8" s="29">
        <f>IF($J8="","",IFERROR(GOOGLEFINANCE($J8,"price")-GOOGLEFINANCE($J8,"closeyest"),""))</f>
        <v/>
      </c>
      <c r="N8" s="41">
        <f>IF($J8="","",IFERROR(GOOGLEFINANCE($J8,"changepct")/100,""))</f>
        <v/>
      </c>
      <c r="O8" s="42">
        <f>IF($J8="","",IFERROR(GOOGLEFINANCE($J8,"tradetime"),""))</f>
        <v/>
      </c>
      <c r="P8" s="43">
        <f>IF($I8="","",SUMIF($B$2:$B$54,$I8,$E$2:$E$54))</f>
        <v/>
      </c>
      <c r="Q8" s="32">
        <f>IF($I8="","",IFERROR($K8*$P8,""))</f>
        <v/>
      </c>
      <c r="R8" s="41">
        <f>IF($I8="","",IFERROR($Q8/$Q$32,""))</f>
        <v/>
      </c>
      <c r="S8" s="41">
        <f>IF($I8="","",IF($W8="","",IFERROR(INDEX($L$2:$T$2,MATCH($W8,$L$1:$T$1,0))*IF(SUMIF($W$6:$W$30,$W8,$Q$6:$Q$30)=0,1/COUNTIF($W$6:$W$30,$W8),$Q8/SUMIF($W$6:$W$30,$W8,$Q$6:$Q$30)),"")))</f>
        <v/>
      </c>
      <c r="T8" s="32">
        <f>IF($I8="","",IFERROR($S8*$Q$32,""))</f>
        <v/>
      </c>
      <c r="U8" s="32">
        <f>IF($I8="","",IFERROR($T8-$Q8,""))</f>
        <v/>
      </c>
      <c r="V8" s="43">
        <f>IF($I8="","",IFERROR($U8/$K8,""))</f>
        <v/>
      </c>
      <c r="W8" s="44" t="inlineStr">
        <is>
          <t>미국</t>
        </is>
      </c>
      <c r="X8" s="30" t="n"/>
    </row>
    <row r="9" ht="18.6" customHeight="1" s="23" thickBot="1" thickTop="1">
      <c r="A9" s="27" t="inlineStr">
        <is>
          <t>미래 연금저축</t>
        </is>
      </c>
      <c r="B9" s="28" t="inlineStr">
        <is>
          <t>ACE 미국나스닥100</t>
        </is>
      </c>
      <c r="C9" s="29">
        <f>IF($B9="","",IFERROR(INDEX($K$6:$K$30,MATCH($B9,$I$6:$I$30,0)),"종목표에 없음"))</f>
        <v/>
      </c>
      <c r="D9" s="30" t="n"/>
      <c r="E9" s="31" t="n"/>
      <c r="F9" s="32">
        <f>IF($B9="","",IFERROR($C9*$E9,""))</f>
        <v/>
      </c>
      <c r="G9" s="33">
        <f>SUM($F9:$F15)</f>
        <v/>
      </c>
      <c r="I9" s="28" t="inlineStr">
        <is>
          <t>TIGER  미국배당다우존스</t>
        </is>
      </c>
      <c r="J9" s="28" t="n"/>
      <c r="K9" s="29">
        <f>IF($I9="","",IF($J9="",$X9,IFERROR(GOOGLEFINANCE($J9,"price"),$X9)))</f>
        <v/>
      </c>
      <c r="L9" s="29">
        <f>IF($I9="","",IFERROR(SUMPRODUCT(($B$2:$B$54=$I9)*$D$2:$D$54*$E$2:$E$54)/$P9,""))</f>
        <v/>
      </c>
      <c r="M9" s="29">
        <f>IF($J9="","",IFERROR(GOOGLEFINANCE($J9,"price")-GOOGLEFINANCE($J9,"closeyest"),""))</f>
        <v/>
      </c>
      <c r="N9" s="41">
        <f>IF($J9="","",IFERROR(GOOGLEFINANCE($J9,"changepct")/100,""))</f>
        <v/>
      </c>
      <c r="O9" s="42">
        <f>IF($J9="","",IFERROR(GOOGLEFINANCE($J9,"tradetime"),""))</f>
        <v/>
      </c>
      <c r="P9" s="43">
        <f>IF($I9="","",SUMIF($B$2:$B$54,$I9,$E$2:$E$54))</f>
        <v/>
      </c>
      <c r="Q9" s="32">
        <f>IF($I9="","",IFERROR($K9*$P9,""))</f>
        <v/>
      </c>
      <c r="R9" s="41">
        <f>IF($I9="","",IFERROR($Q9/$Q$32,""))</f>
        <v/>
      </c>
      <c r="S9" s="41">
        <f>IF($I9="","",IF($W9="","",IFERROR(INDEX($L$2:$T$2,MATCH($W9,$L$1:$T$1,0))*IF(SUMIF($W$6:$W$30,$W9,$Q$6:$Q$30)=0,1/COUNTIF($W$6:$W$30,$W9),$Q9/SUMIF($W$6:$W$30,$W9,$Q$6:$Q$30)),"")))</f>
        <v/>
      </c>
      <c r="T9" s="32">
        <f>IF($I9="","",IFERROR($S9*$Q$32,""))</f>
        <v/>
      </c>
      <c r="U9" s="32">
        <f>IF($I9="","",IFERROR($T9-$Q9,""))</f>
        <v/>
      </c>
      <c r="V9" s="43">
        <f>IF($I9="","",IFERROR($U9/$K9,""))</f>
        <v/>
      </c>
      <c r="W9" s="44" t="inlineStr">
        <is>
          <t>미국</t>
        </is>
      </c>
      <c r="X9" s="30" t="n"/>
    </row>
    <row r="10" ht="18.6" customHeight="1" s="23" thickBot="1" thickTop="1">
      <c r="A10" s="39" t="n"/>
      <c r="B10" s="28" t="inlineStr">
        <is>
          <t>TIGER  미국S&amp;P500</t>
        </is>
      </c>
      <c r="C10" s="29">
        <f>IF($B10="","",IFERROR(INDEX($K$6:$K$30,MATCH($B10,$I$6:$I$30,0)),"종목표에 없음"))</f>
        <v/>
      </c>
      <c r="D10" s="30" t="n"/>
      <c r="E10" s="31" t="n"/>
      <c r="F10" s="32">
        <f>IF($B10="","",IFERROR($C10*$E10,""))</f>
        <v/>
      </c>
      <c r="G10" s="39" t="n"/>
      <c r="I10" s="28" t="inlineStr">
        <is>
          <t>KODEX 미국나스닥100</t>
        </is>
      </c>
      <c r="J10" s="28" t="n"/>
      <c r="K10" s="29">
        <f>IF($I10="","",IF($J10="",$X10,IFERROR(GOOGLEFINANCE($J10,"price"),$X10)))</f>
        <v/>
      </c>
      <c r="L10" s="29">
        <f>IF($I10="","",IFERROR(SUMPRODUCT(($B$2:$B$54=$I10)*$D$2:$D$54*$E$2:$E$54)/$P10,""))</f>
        <v/>
      </c>
      <c r="M10" s="29">
        <f>IF($J10="","",IFERROR(GOOGLEFINANCE($J10,"price")-GOOGLEFINANCE($J10,"closeyest"),""))</f>
        <v/>
      </c>
      <c r="N10" s="41">
        <f>IF($J10="","",IFERROR(GOOGLEFINANCE($J10,"changepct")/100,""))</f>
        <v/>
      </c>
      <c r="O10" s="42">
        <f>IF($J10="","",IFERROR(GOOGLEFINANCE($J10,"tradetime"),""))</f>
        <v/>
      </c>
      <c r="P10" s="43">
        <f>IF($I10="","",SUMIF($B$2:$B$54,$I10,$E$2:$E$54))</f>
        <v/>
      </c>
      <c r="Q10" s="32">
        <f>IF($I10="","",IFERROR($K10*$P10,""))</f>
        <v/>
      </c>
      <c r="R10" s="41">
        <f>IF($I10="","",IFERROR($Q10/$Q$32,""))</f>
        <v/>
      </c>
      <c r="S10" s="41">
        <f>IF($I10="","",IF($W10="","",IFERROR(INDEX($L$2:$T$2,MATCH($W10,$L$1:$T$1,0))*IF(SUMIF($W$6:$W$30,$W10,$Q$6:$Q$30)=0,1/COUNTIF($W$6:$W$30,$W10),$Q10/SUMIF($W$6:$W$30,$W10,$Q$6:$Q$30)),"")))</f>
        <v/>
      </c>
      <c r="T10" s="32">
        <f>IF($I10="","",IFERROR($S10*$Q$32,""))</f>
        <v/>
      </c>
      <c r="U10" s="32">
        <f>IF($I10="","",IFERROR($T10-$Q10,""))</f>
        <v/>
      </c>
      <c r="V10" s="43">
        <f>IF($I10="","",IFERROR($U10/$K10,""))</f>
        <v/>
      </c>
      <c r="W10" s="44" t="inlineStr">
        <is>
          <t>미국</t>
        </is>
      </c>
      <c r="X10" s="30" t="n"/>
    </row>
    <row r="11" ht="18.6" customHeight="1" s="23" thickBot="1" thickTop="1">
      <c r="A11" s="39" t="n"/>
      <c r="B11" s="28" t="inlineStr">
        <is>
          <t>SOL 미국배당다우존스</t>
        </is>
      </c>
      <c r="C11" s="29">
        <f>IF($B11="","",IFERROR(INDEX($K$6:$K$30,MATCH($B11,$I$6:$I$30,0)),"종목표에 없음"))</f>
        <v/>
      </c>
      <c r="D11" s="30" t="n"/>
      <c r="E11" s="31" t="n"/>
      <c r="F11" s="32">
        <f>IF($B11="","",IFERROR($C11*$E11,""))</f>
        <v/>
      </c>
      <c r="G11" s="39" t="n"/>
      <c r="I11" s="28" t="inlineStr">
        <is>
          <t>KODEX 미국S&amp;P500</t>
        </is>
      </c>
      <c r="J11" s="28" t="n"/>
      <c r="K11" s="29">
        <f>IF($I11="","",IF($J11="",$X11,IFERROR(GOOGLEFINANCE($J11,"price"),$X11)))</f>
        <v/>
      </c>
      <c r="L11" s="29">
        <f>IF($I11="","",IFERROR(SUMPRODUCT(($B$2:$B$54=$I11)*$D$2:$D$54*$E$2:$E$54)/$P11,""))</f>
        <v/>
      </c>
      <c r="M11" s="29">
        <f>IF($J11="","",IFERROR(GOOGLEFINANCE($J11,"price")-GOOGLEFINANCE($J11,"closeyest"),""))</f>
        <v/>
      </c>
      <c r="N11" s="41">
        <f>IF($J11="","",IFERROR(GOOGLEFINANCE($J11,"changepct")/100,""))</f>
        <v/>
      </c>
      <c r="O11" s="42">
        <f>IF($J11="","",IFERROR(GOOGLEFINANCE($J11,"tradetime"),""))</f>
        <v/>
      </c>
      <c r="P11" s="43">
        <f>IF($I11="","",SUMIF($B$2:$B$54,$I11,$E$2:$E$54))</f>
        <v/>
      </c>
      <c r="Q11" s="32">
        <f>IF($I11="","",IFERROR($K11*$P11,""))</f>
        <v/>
      </c>
      <c r="R11" s="41">
        <f>IF($I11="","",IFERROR($Q11/$Q$32,""))</f>
        <v/>
      </c>
      <c r="S11" s="41">
        <f>IF($I11="","",IF($W11="","",IFERROR(INDEX($L$2:$T$2,MATCH($W11,$L$1:$T$1,0))*IF(SUMIF($W$6:$W$30,$W11,$Q$6:$Q$30)=0,1/COUNTIF($W$6:$W$30,$W11),$Q11/SUMIF($W$6:$W$30,$W11,$Q$6:$Q$30)),"")))</f>
        <v/>
      </c>
      <c r="T11" s="32">
        <f>IF($I11="","",IFERROR($S11*$Q$32,""))</f>
        <v/>
      </c>
      <c r="U11" s="32">
        <f>IF($I11="","",IFERROR($T11-$Q11,""))</f>
        <v/>
      </c>
      <c r="V11" s="43">
        <f>IF($I11="","",IFERROR($U11/$K11,""))</f>
        <v/>
      </c>
      <c r="W11" s="44" t="inlineStr">
        <is>
          <t>미국</t>
        </is>
      </c>
      <c r="X11" s="30" t="n"/>
    </row>
    <row r="12" ht="18.6" customHeight="1" s="23" thickBot="1" thickTop="1">
      <c r="A12" s="39" t="n"/>
      <c r="B12" s="28" t="inlineStr">
        <is>
          <t>KODEX 200TR</t>
        </is>
      </c>
      <c r="C12" s="29">
        <f>IF($B12="","",IFERROR(INDEX($K$6:$K$30,MATCH($B12,$I$6:$I$30,0)),"종목표에 없음"))</f>
        <v/>
      </c>
      <c r="D12" s="30" t="n"/>
      <c r="E12" s="31" t="n"/>
      <c r="F12" s="32">
        <f>IF($B12="","",IFERROR($C12*$E12,""))</f>
        <v/>
      </c>
      <c r="G12" s="39" t="n"/>
      <c r="I12" s="28" t="inlineStr">
        <is>
          <t>1Q미국S&amp;P500미국채혼합50액티브</t>
        </is>
      </c>
      <c r="J12" s="28" t="n"/>
      <c r="K12" s="29">
        <f>IF($I12="","",IF($J12="",$X12,IFERROR(GOOGLEFINANCE($J12,"price"),$X12)))</f>
        <v/>
      </c>
      <c r="L12" s="29">
        <f>IF($I12="","",IFERROR(SUMPRODUCT(($B$2:$B$54=$I12)*$D$2:$D$54*$E$2:$E$54)/$P12,""))</f>
        <v/>
      </c>
      <c r="M12" s="29">
        <f>IF($J12="","",IFERROR(GOOGLEFINANCE($J12,"price")-GOOGLEFINANCE($J12,"closeyest"),""))</f>
        <v/>
      </c>
      <c r="N12" s="41">
        <f>IF($J12="","",IFERROR(GOOGLEFINANCE($J12,"changepct")/100,""))</f>
        <v/>
      </c>
      <c r="O12" s="42">
        <f>IF($J12="","",IFERROR(GOOGLEFINANCE($J12,"tradetime"),""))</f>
        <v/>
      </c>
      <c r="P12" s="43">
        <f>IF($I12="","",SUMIF($B$2:$B$54,$I12,$E$2:$E$54))</f>
        <v/>
      </c>
      <c r="Q12" s="32">
        <f>IF($I12="","",IFERROR($K12*$P12,""))</f>
        <v/>
      </c>
      <c r="R12" s="41">
        <f>IF($I12="","",IFERROR($Q12/$Q$32,""))</f>
        <v/>
      </c>
      <c r="S12" s="41">
        <f>IF($I12="","",IF($W12="","",IFERROR(INDEX($L$2:$T$2,MATCH($W12,$L$1:$T$1,0))*IF(SUMIF($W$6:$W$30,$W12,$Q$6:$Q$30)=0,1/COUNTIF($W$6:$W$30,$W12),$Q12/SUMIF($W$6:$W$30,$W12,$Q$6:$Q$30)),"")))</f>
        <v/>
      </c>
      <c r="T12" s="32">
        <f>IF($I12="","",IFERROR($S12*$Q$32,""))</f>
        <v/>
      </c>
      <c r="U12" s="32">
        <f>IF($I12="","",IFERROR($T12-$Q12,""))</f>
        <v/>
      </c>
      <c r="V12" s="43">
        <f>IF($I12="","",IFERROR($U12/$K12,""))</f>
        <v/>
      </c>
      <c r="W12" s="44" t="inlineStr">
        <is>
          <t>미국</t>
        </is>
      </c>
      <c r="X12" s="30" t="n"/>
    </row>
    <row r="13" ht="18.6" customHeight="1" s="23" thickBot="1" thickTop="1">
      <c r="A13" s="39" t="n"/>
      <c r="B13" s="28" t="inlineStr">
        <is>
          <t>TIGER 일본니케이225</t>
        </is>
      </c>
      <c r="C13" s="29">
        <f>IF($B13="","",IFERROR(INDEX($K$6:$K$30,MATCH($B13,$I$6:$I$30,0)),"종목표에 없음"))</f>
        <v/>
      </c>
      <c r="D13" s="30" t="n"/>
      <c r="E13" s="31" t="n"/>
      <c r="F13" s="32">
        <f>IF($B13="","",IFERROR($C13*$E13,""))</f>
        <v/>
      </c>
      <c r="G13" s="39" t="n"/>
      <c r="I13" s="28" t="inlineStr">
        <is>
          <t>KODEX 200TR</t>
        </is>
      </c>
      <c r="J13" s="28" t="n"/>
      <c r="K13" s="29">
        <f>IF($I13="","",IF($J13="",$X13,IFERROR(GOOGLEFINANCE($J13,"price"),$X13)))</f>
        <v/>
      </c>
      <c r="L13" s="29">
        <f>IF($I13="","",IFERROR(SUMPRODUCT(($B$2:$B$54=$I13)*$D$2:$D$54*$E$2:$E$54)/$P13,""))</f>
        <v/>
      </c>
      <c r="M13" s="29">
        <f>IF($J13="","",IFERROR(GOOGLEFINANCE($J13,"price")-GOOGLEFINANCE($J13,"closeyest"),""))</f>
        <v/>
      </c>
      <c r="N13" s="41">
        <f>IF($J13="","",IFERROR(GOOGLEFINANCE($J13,"changepct")/100,""))</f>
        <v/>
      </c>
      <c r="O13" s="42">
        <f>IF($J13="","",IFERROR(GOOGLEFINANCE($J13,"tradetime"),""))</f>
        <v/>
      </c>
      <c r="P13" s="43">
        <f>IF($I13="","",SUMIF($B$2:$B$54,$I13,$E$2:$E$54))</f>
        <v/>
      </c>
      <c r="Q13" s="32">
        <f>IF($I13="","",IFERROR($K13*$P13,""))</f>
        <v/>
      </c>
      <c r="R13" s="41">
        <f>IF($I13="","",IFERROR($Q13/$Q$32,""))</f>
        <v/>
      </c>
      <c r="S13" s="41">
        <f>IF($I13="","",IF($W13="","",IFERROR(INDEX($L$2:$T$2,MATCH($W13,$L$1:$T$1,0))*IF(SUMIF($W$6:$W$30,$W13,$Q$6:$Q$30)=0,1/COUNTIF($W$6:$W$30,$W13),$Q13/SUMIF($W$6:$W$30,$W13,$Q$6:$Q$30)),"")))</f>
        <v/>
      </c>
      <c r="T13" s="32">
        <f>IF($I13="","",IFERROR($S13*$Q$32,""))</f>
        <v/>
      </c>
      <c r="U13" s="32">
        <f>IF($I13="","",IFERROR($T13-$Q13,""))</f>
        <v/>
      </c>
      <c r="V13" s="43">
        <f>IF($I13="","",IFERROR($U13/$K13,""))</f>
        <v/>
      </c>
      <c r="W13" s="44" t="inlineStr">
        <is>
          <t>한국</t>
        </is>
      </c>
      <c r="X13" s="30" t="n"/>
    </row>
    <row r="14" ht="18.6" customHeight="1" s="23" thickBot="1" thickTop="1">
      <c r="A14" s="39" t="n"/>
      <c r="B14" s="28" t="inlineStr">
        <is>
          <t>KODEX 차이나CSI300</t>
        </is>
      </c>
      <c r="C14" s="29">
        <f>IF($B14="","",IFERROR(INDEX($K$6:$K$30,MATCH($B14,$I$6:$I$30,0)),"종목표에 없음"))</f>
        <v/>
      </c>
      <c r="D14" s="30" t="n"/>
      <c r="E14" s="31" t="n"/>
      <c r="F14" s="32">
        <f>IF($B14="","",IFERROR($C14*$E14,""))</f>
        <v/>
      </c>
      <c r="G14" s="39" t="n"/>
      <c r="I14" s="28" t="inlineStr">
        <is>
          <t>TIGER 일본니케이225</t>
        </is>
      </c>
      <c r="J14" s="28" t="n"/>
      <c r="K14" s="29">
        <f>IF($I14="","",IF($J14="",$X14,IFERROR(GOOGLEFINANCE($J14,"price"),$X14)))</f>
        <v/>
      </c>
      <c r="L14" s="29">
        <f>IF($I14="","",IFERROR(SUMPRODUCT(($B$2:$B$54=$I14)*$D$2:$D$54*$E$2:$E$54)/$P14,""))</f>
        <v/>
      </c>
      <c r="M14" s="29">
        <f>IF($J14="","",IFERROR(GOOGLEFINANCE($J14,"price")-GOOGLEFINANCE($J14,"closeyest"),""))</f>
        <v/>
      </c>
      <c r="N14" s="41">
        <f>IF($J14="","",IFERROR(GOOGLEFINANCE($J14,"changepct")/100,""))</f>
        <v/>
      </c>
      <c r="O14" s="42">
        <f>IF($J14="","",IFERROR(GOOGLEFINANCE($J14,"tradetime"),""))</f>
        <v/>
      </c>
      <c r="P14" s="43">
        <f>IF($I14="","",SUMIF($B$2:$B$54,$I14,$E$2:$E$54))</f>
        <v/>
      </c>
      <c r="Q14" s="32">
        <f>IF($I14="","",IFERROR($K14*$P14,""))</f>
        <v/>
      </c>
      <c r="R14" s="41">
        <f>IF($I14="","",IFERROR($Q14/$Q$32,""))</f>
        <v/>
      </c>
      <c r="S14" s="41">
        <f>IF($I14="","",IF($W14="","",IFERROR(INDEX($L$2:$T$2,MATCH($W14,$L$1:$T$1,0))*IF(SUMIF($W$6:$W$30,$W14,$Q$6:$Q$30)=0,1/COUNTIF($W$6:$W$30,$W14),$Q14/SUMIF($W$6:$W$30,$W14,$Q$6:$Q$30)),"")))</f>
        <v/>
      </c>
      <c r="T14" s="32">
        <f>IF($I14="","",IFERROR($S14*$Q$32,""))</f>
        <v/>
      </c>
      <c r="U14" s="32">
        <f>IF($I14="","",IFERROR($T14-$Q14,""))</f>
        <v/>
      </c>
      <c r="V14" s="43">
        <f>IF($I14="","",IFERROR($U14/$K14,""))</f>
        <v/>
      </c>
      <c r="W14" s="44" t="inlineStr">
        <is>
          <t>일본</t>
        </is>
      </c>
      <c r="X14" s="30" t="n"/>
    </row>
    <row r="15" ht="18.6" customHeight="1" s="23" thickBot="1" thickTop="1">
      <c r="A15" s="39" t="n"/>
      <c r="B15" s="28" t="inlineStr">
        <is>
          <t>KODEX 인도Nifty50</t>
        </is>
      </c>
      <c r="C15" s="29">
        <f>IF($B15="","",IFERROR(INDEX($K$6:$K$30,MATCH($B15,$I$6:$I$30,0)),"종목표에 없음"))</f>
        <v/>
      </c>
      <c r="D15" s="30" t="n"/>
      <c r="E15" s="31" t="n"/>
      <c r="F15" s="32">
        <f>IF($B15="","",IFERROR($C15*$E15,""))</f>
        <v/>
      </c>
      <c r="G15" s="39" t="n"/>
      <c r="I15" s="28" t="inlineStr">
        <is>
          <t>KODEX 차이나CSI300</t>
        </is>
      </c>
      <c r="J15" s="28" t="n"/>
      <c r="K15" s="29">
        <f>IF($I15="","",IF($J15="",$X15,IFERROR(GOOGLEFINANCE($J15,"price"),$X15)))</f>
        <v/>
      </c>
      <c r="L15" s="29">
        <f>IF($I15="","",IFERROR(SUMPRODUCT(($B$2:$B$54=$I15)*$D$2:$D$54*$E$2:$E$54)/$P15,""))</f>
        <v/>
      </c>
      <c r="M15" s="29">
        <f>IF($J15="","",IFERROR(GOOGLEFINANCE($J15,"price")-GOOGLEFINANCE($J15,"closeyest"),""))</f>
        <v/>
      </c>
      <c r="N15" s="41">
        <f>IF($J15="","",IFERROR(GOOGLEFINANCE($J15,"changepct")/100,""))</f>
        <v/>
      </c>
      <c r="O15" s="42">
        <f>IF($J15="","",IFERROR(GOOGLEFINANCE($J15,"tradetime"),""))</f>
        <v/>
      </c>
      <c r="P15" s="43">
        <f>IF($I15="","",SUMIF($B$2:$B$54,$I15,$E$2:$E$54))</f>
        <v/>
      </c>
      <c r="Q15" s="32">
        <f>IF($I15="","",IFERROR($K15*$P15,""))</f>
        <v/>
      </c>
      <c r="R15" s="41">
        <f>IF($I15="","",IFERROR($Q15/$Q$32,""))</f>
        <v/>
      </c>
      <c r="S15" s="41">
        <f>IF($I15="","",IF($W15="","",IFERROR(INDEX($L$2:$T$2,MATCH($W15,$L$1:$T$1,0))*IF(SUMIF($W$6:$W$30,$W15,$Q$6:$Q$30)=0,1/COUNTIF($W$6:$W$30,$W15),$Q15/SUMIF($W$6:$W$30,$W15,$Q$6:$Q$30)),"")))</f>
        <v/>
      </c>
      <c r="T15" s="32">
        <f>IF($I15="","",IFERROR($S15*$Q$32,""))</f>
        <v/>
      </c>
      <c r="U15" s="32">
        <f>IF($I15="","",IFERROR($T15-$Q15,""))</f>
        <v/>
      </c>
      <c r="V15" s="43">
        <f>IF($I15="","",IFERROR($U15/$K15,""))</f>
        <v/>
      </c>
      <c r="W15" s="44" t="inlineStr">
        <is>
          <t>중국</t>
        </is>
      </c>
      <c r="X15" s="30" t="n"/>
    </row>
    <row r="16" ht="18.6" customHeight="1" s="23" thickBot="1" thickTop="1">
      <c r="A16" s="27" t="inlineStr">
        <is>
          <t>찬홍ISA</t>
        </is>
      </c>
      <c r="B16" s="28" t="inlineStr">
        <is>
          <t>ACE 미국나스닥100</t>
        </is>
      </c>
      <c r="C16" s="29">
        <f>IF($B16="","",IFERROR(INDEX($K$6:$K$30,MATCH($B16,$I$6:$I$30,0)),"종목표에 없음"))</f>
        <v/>
      </c>
      <c r="D16" s="30" t="n"/>
      <c r="E16" s="31" t="n"/>
      <c r="F16" s="32">
        <f>IF($B16="","",IFERROR($C16*$E16,""))</f>
        <v/>
      </c>
      <c r="G16" s="33">
        <f>SUM($F16:$F22)</f>
        <v/>
      </c>
      <c r="I16" s="28" t="inlineStr">
        <is>
          <t>KODEX 인도Nifty50</t>
        </is>
      </c>
      <c r="J16" s="28" t="n"/>
      <c r="K16" s="29">
        <f>IF($I16="","",IF($J16="",$X16,IFERROR(GOOGLEFINANCE($J16,"price"),$X16)))</f>
        <v/>
      </c>
      <c r="L16" s="29">
        <f>IF($I16="","",IFERROR(SUMPRODUCT(($B$2:$B$54=$I16)*$D$2:$D$54*$E$2:$E$54)/$P16,""))</f>
        <v/>
      </c>
      <c r="M16" s="29">
        <f>IF($J16="","",IFERROR(GOOGLEFINANCE($J16,"price")-GOOGLEFINANCE($J16,"closeyest"),""))</f>
        <v/>
      </c>
      <c r="N16" s="41">
        <f>IF($J16="","",IFERROR(GOOGLEFINANCE($J16,"changepct")/100,""))</f>
        <v/>
      </c>
      <c r="O16" s="42">
        <f>IF($J16="","",IFERROR(GOOGLEFINANCE($J16,"tradetime"),""))</f>
        <v/>
      </c>
      <c r="P16" s="43">
        <f>IF($I16="","",SUMIF($B$2:$B$54,$I16,$E$2:$E$54))</f>
        <v/>
      </c>
      <c r="Q16" s="32">
        <f>IF($I16="","",IFERROR($K16*$P16,""))</f>
        <v/>
      </c>
      <c r="R16" s="41">
        <f>IF($I16="","",IFERROR($Q16/$Q$32,""))</f>
        <v/>
      </c>
      <c r="S16" s="41">
        <f>IF($I16="","",IF($W16="","",IFERROR(INDEX($L$2:$T$2,MATCH($W16,$L$1:$T$1,0))*IF(SUMIF($W$6:$W$30,$W16,$Q$6:$Q$30)=0,1/COUNTIF($W$6:$W$30,$W16),$Q16/SUMIF($W$6:$W$30,$W16,$Q$6:$Q$30)),"")))</f>
        <v/>
      </c>
      <c r="T16" s="32">
        <f>IF($I16="","",IFERROR($S16*$Q$32,""))</f>
        <v/>
      </c>
      <c r="U16" s="32">
        <f>IF($I16="","",IFERROR($T16-$Q16,""))</f>
        <v/>
      </c>
      <c r="V16" s="43">
        <f>IF($I16="","",IFERROR($U16/$K16,""))</f>
        <v/>
      </c>
      <c r="W16" s="44" t="inlineStr">
        <is>
          <t>인도</t>
        </is>
      </c>
      <c r="X16" s="30" t="n"/>
    </row>
    <row r="17" ht="18.6" customHeight="1" s="23" thickBot="1" thickTop="1">
      <c r="A17" s="39" t="n"/>
      <c r="B17" s="28" t="inlineStr">
        <is>
          <t>TIGER  미국S&amp;P500</t>
        </is>
      </c>
      <c r="C17" s="29">
        <f>IF($B17="","",IFERROR(INDEX($K$6:$K$30,MATCH($B17,$I$6:$I$30,0)),"종목표에 없음"))</f>
        <v/>
      </c>
      <c r="D17" s="30" t="n"/>
      <c r="E17" s="31" t="n"/>
      <c r="F17" s="32">
        <f>IF($B17="","",IFERROR($C17*$E17,""))</f>
        <v/>
      </c>
      <c r="G17" s="39" t="n"/>
      <c r="I17" s="28" t="inlineStr">
        <is>
          <t>매그니피센트7 MAGS</t>
        </is>
      </c>
      <c r="J17" s="28" t="n"/>
      <c r="K17" s="29">
        <f>IF($I17="","",IF($J17="",$X17,IFERROR(GOOGLEFINANCE($J17,"price"),$X17)))</f>
        <v/>
      </c>
      <c r="L17" s="29">
        <f>IF($I17="","",IFERROR(SUMPRODUCT(($B$2:$B$54=$I17)*$D$2:$D$54*$E$2:$E$54)/$P17,""))</f>
        <v/>
      </c>
      <c r="M17" s="29">
        <f>IF($J17="","",IFERROR(GOOGLEFINANCE($J17,"price")-GOOGLEFINANCE($J17,"closeyest"),""))</f>
        <v/>
      </c>
      <c r="N17" s="41">
        <f>IF($J17="","",IFERROR(GOOGLEFINANCE($J17,"changepct")/100,""))</f>
        <v/>
      </c>
      <c r="O17" s="42">
        <f>IF($J17="","",IFERROR(GOOGLEFINANCE($J17,"tradetime"),""))</f>
        <v/>
      </c>
      <c r="P17" s="43">
        <f>IF($I17="","",SUMIF($B$2:$B$54,$I17,$E$2:$E$54))</f>
        <v/>
      </c>
      <c r="Q17" s="32">
        <f>IF($I17="","",IFERROR($K17*$P17,""))</f>
        <v/>
      </c>
      <c r="R17" s="41">
        <f>IF($I17="","",IFERROR($Q17/$Q$32,""))</f>
        <v/>
      </c>
      <c r="S17" s="41">
        <f>IF($I17="","",IF($W17="","",IFERROR(INDEX($L$2:$T$2,MATCH($W17,$L$1:$T$1,0))*IF(SUMIF($W$6:$W$30,$W17,$Q$6:$Q$30)=0,1/COUNTIF($W$6:$W$30,$W17),$Q17/SUMIF($W$6:$W$30,$W17,$Q$6:$Q$30)),"")))</f>
        <v/>
      </c>
      <c r="T17" s="32">
        <f>IF($I17="","",IFERROR($S17*$Q$32,""))</f>
        <v/>
      </c>
      <c r="U17" s="32">
        <f>IF($I17="","",IFERROR($T17-$Q17,""))</f>
        <v/>
      </c>
      <c r="V17" s="43">
        <f>IF($I17="","",IFERROR($U17/$K17,""))</f>
        <v/>
      </c>
      <c r="W17" s="44" t="inlineStr">
        <is>
          <t>미국</t>
        </is>
      </c>
      <c r="X17" s="30" t="n"/>
    </row>
    <row r="18" ht="18.6" customHeight="1" s="23" thickBot="1" thickTop="1">
      <c r="A18" s="39" t="n"/>
      <c r="B18" s="28" t="inlineStr">
        <is>
          <t>TIGER  미국배당다우존스</t>
        </is>
      </c>
      <c r="C18" s="29">
        <f>IF($B18="","",IFERROR(INDEX($K$6:$K$30,MATCH($B18,$I$6:$I$30,0)),"종목표에 없음"))</f>
        <v/>
      </c>
      <c r="D18" s="30" t="n"/>
      <c r="E18" s="31" t="n"/>
      <c r="F18" s="32">
        <f>IF($B18="","",IFERROR($C18*$E18,""))</f>
        <v/>
      </c>
      <c r="G18" s="39" t="n"/>
      <c r="I18" s="28" t="inlineStr">
        <is>
          <t>Schwab SCHD</t>
        </is>
      </c>
      <c r="J18" s="28" t="n"/>
      <c r="K18" s="29">
        <f>IF($I18="","",IF($J18="",$X18,IFERROR(GOOGLEFINANCE($J18,"price"),$X18)))</f>
        <v/>
      </c>
      <c r="L18" s="29">
        <f>IF($I18="","",IFERROR(SUMPRODUCT(($B$2:$B$54=$I18)*$D$2:$D$54*$E$2:$E$54)/$P18,""))</f>
        <v/>
      </c>
      <c r="M18" s="29">
        <f>IF($J18="","",IFERROR(GOOGLEFINANCE($J18,"price")-GOOGLEFINANCE($J18,"closeyest"),""))</f>
        <v/>
      </c>
      <c r="N18" s="41">
        <f>IF($J18="","",IFERROR(GOOGLEFINANCE($J18,"changepct")/100,""))</f>
        <v/>
      </c>
      <c r="O18" s="42">
        <f>IF($J18="","",IFERROR(GOOGLEFINANCE($J18,"tradetime"),""))</f>
        <v/>
      </c>
      <c r="P18" s="43">
        <f>IF($I18="","",SUMIF($B$2:$B$54,$I18,$E$2:$E$54))</f>
        <v/>
      </c>
      <c r="Q18" s="32">
        <f>IF($I18="","",IFERROR($K18*$P18,""))</f>
        <v/>
      </c>
      <c r="R18" s="41">
        <f>IF($I18="","",IFERROR($Q18/$Q$32,""))</f>
        <v/>
      </c>
      <c r="S18" s="41">
        <f>IF($I18="","",IF($W18="","",IFERROR(INDEX($L$2:$T$2,MATCH($W18,$L$1:$T$1,0))*IF(SUMIF($W$6:$W$30,$W18,$Q$6:$Q$30)=0,1/COUNTIF($W$6:$W$30,$W18),$Q18/SUMIF($W$6:$W$30,$W18,$Q$6:$Q$30)),"")))</f>
        <v/>
      </c>
      <c r="T18" s="32">
        <f>IF($I18="","",IFERROR($S18*$Q$32,""))</f>
        <v/>
      </c>
      <c r="U18" s="32">
        <f>IF($I18="","",IFERROR($T18-$Q18,""))</f>
        <v/>
      </c>
      <c r="V18" s="43">
        <f>IF($I18="","",IFERROR($U18/$K18,""))</f>
        <v/>
      </c>
      <c r="W18" s="44" t="inlineStr">
        <is>
          <t>미국</t>
        </is>
      </c>
      <c r="X18" s="30" t="n"/>
    </row>
    <row r="19" ht="18.6" customHeight="1" s="23" thickBot="1" thickTop="1">
      <c r="A19" s="39" t="n"/>
      <c r="B19" s="28" t="inlineStr">
        <is>
          <t>KODEX 200TR</t>
        </is>
      </c>
      <c r="C19" s="29">
        <f>IF($B19="","",IFERROR(INDEX($K$6:$K$30,MATCH($B19,$I$6:$I$30,0)),"종목표에 없음"))</f>
        <v/>
      </c>
      <c r="D19" s="30" t="n"/>
      <c r="E19" s="31" t="n"/>
      <c r="F19" s="32">
        <f>IF($B19="","",IFERROR($C19*$E19,""))</f>
        <v/>
      </c>
      <c r="G19" s="39" t="n"/>
      <c r="I19" s="28" t="inlineStr">
        <is>
          <t>버크셔 해서웨이B BRK.B</t>
        </is>
      </c>
      <c r="J19" s="28" t="n"/>
      <c r="K19" s="29">
        <f>IF($I19="","",IF($J19="",$X19,IFERROR(GOOGLEFINANCE($J19,"price"),$X19)))</f>
        <v/>
      </c>
      <c r="L19" s="29">
        <f>IF($I19="","",IFERROR(SUMPRODUCT(($B$2:$B$54=$I19)*$D$2:$D$54*$E$2:$E$54)/$P19,""))</f>
        <v/>
      </c>
      <c r="M19" s="29">
        <f>IF($J19="","",IFERROR(GOOGLEFINANCE($J19,"price")-GOOGLEFINANCE($J19,"closeyest"),""))</f>
        <v/>
      </c>
      <c r="N19" s="41">
        <f>IF($J19="","",IFERROR(GOOGLEFINANCE($J19,"changepct")/100,""))</f>
        <v/>
      </c>
      <c r="O19" s="42">
        <f>IF($J19="","",IFERROR(GOOGLEFINANCE($J19,"tradetime"),""))</f>
        <v/>
      </c>
      <c r="P19" s="43">
        <f>IF($I19="","",SUMIF($B$2:$B$54,$I19,$E$2:$E$54))</f>
        <v/>
      </c>
      <c r="Q19" s="32">
        <f>IF($I19="","",IFERROR($K19*$P19,""))</f>
        <v/>
      </c>
      <c r="R19" s="41">
        <f>IF($I19="","",IFERROR($Q19/$Q$32,""))</f>
        <v/>
      </c>
      <c r="S19" s="41">
        <f>IF($I19="","",IF($W19="","",IFERROR(INDEX($L$2:$T$2,MATCH($W19,$L$1:$T$1,0))*IF(SUMIF($W$6:$W$30,$W19,$Q$6:$Q$30)=0,1/COUNTIF($W$6:$W$30,$W19),$Q19/SUMIF($W$6:$W$30,$W19,$Q$6:$Q$30)),"")))</f>
        <v/>
      </c>
      <c r="T19" s="32">
        <f>IF($I19="","",IFERROR($S19*$Q$32,""))</f>
        <v/>
      </c>
      <c r="U19" s="32">
        <f>IF($I19="","",IFERROR($T19-$Q19,""))</f>
        <v/>
      </c>
      <c r="V19" s="43">
        <f>IF($I19="","",IFERROR($U19/$K19,""))</f>
        <v/>
      </c>
      <c r="W19" s="44" t="inlineStr">
        <is>
          <t>미국</t>
        </is>
      </c>
      <c r="X19" s="30" t="n"/>
    </row>
    <row r="20" ht="18.6" customHeight="1" s="23" thickBot="1" thickTop="1">
      <c r="A20" s="39" t="n"/>
      <c r="B20" s="28" t="inlineStr">
        <is>
          <t>TIGER 일본니케이225</t>
        </is>
      </c>
      <c r="C20" s="29">
        <f>IF($B20="","",IFERROR(INDEX($K$6:$K$30,MATCH($B20,$I$6:$I$30,0)),"종목표에 없음"))</f>
        <v/>
      </c>
      <c r="D20" s="30" t="n"/>
      <c r="E20" s="31" t="n"/>
      <c r="F20" s="32">
        <f>IF($B20="","",IFERROR($C20*$E20,""))</f>
        <v/>
      </c>
      <c r="G20" s="39" t="n"/>
      <c r="I20" s="28" t="n"/>
      <c r="J20" s="28" t="n"/>
      <c r="K20" s="29">
        <f>IF($I20="","",IF($J20="",$X20,IFERROR(GOOGLEFINANCE($J20,"price"),$X20)))</f>
        <v/>
      </c>
      <c r="L20" s="29">
        <f>IF($I20="","",IFERROR(SUMPRODUCT(($B$2:$B$54=$I20)*$D$2:$D$54*$E$2:$E$54)/$P20,""))</f>
        <v/>
      </c>
      <c r="M20" s="29">
        <f>IF($J20="","",IFERROR(GOOGLEFINANCE($J20,"price")-GOOGLEFINANCE($J20,"closeyest"),""))</f>
        <v/>
      </c>
      <c r="N20" s="41">
        <f>IF($J20="","",IFERROR(GOOGLEFINANCE($J20,"changepct")/100,""))</f>
        <v/>
      </c>
      <c r="O20" s="42">
        <f>IF($J20="","",IFERROR(GOOGLEFINANCE($J20,"tradetime"),""))</f>
        <v/>
      </c>
      <c r="P20" s="43">
        <f>IF($I20="","",SUMIF($B$2:$B$54,$I20,$E$2:$E$54))</f>
        <v/>
      </c>
      <c r="Q20" s="32">
        <f>IF($I20="","",IFERROR($K20*$P20,""))</f>
        <v/>
      </c>
      <c r="R20" s="41">
        <f>IF($I20="","",IFERROR($Q20/$Q$32,""))</f>
        <v/>
      </c>
      <c r="S20" s="41">
        <f>IF($I20="","",IF($W20="","",IFERROR(INDEX($L$2:$T$2,MATCH($W20,$L$1:$T$1,0))*IF(SUMIF($W$6:$W$30,$W20,$Q$6:$Q$30)=0,1/COUNTIF($W$6:$W$30,$W20),$Q20/SUMIF($W$6:$W$30,$W20,$Q$6:$Q$30)),"")))</f>
        <v/>
      </c>
      <c r="T20" s="32">
        <f>IF($I20="","",IFERROR($S20*$Q$32,""))</f>
        <v/>
      </c>
      <c r="U20" s="32">
        <f>IF($I20="","",IFERROR($T20-$Q20,""))</f>
        <v/>
      </c>
      <c r="V20" s="43">
        <f>IF($I20="","",IFERROR($U20/$K20,""))</f>
        <v/>
      </c>
      <c r="W20" s="44" t="n"/>
      <c r="X20" s="30" t="n"/>
    </row>
    <row r="21" ht="18.6" customHeight="1" s="23" thickBot="1" thickTop="1">
      <c r="A21" s="39" t="n"/>
      <c r="B21" s="28" t="inlineStr">
        <is>
          <t>KODEX 차이나CSI300</t>
        </is>
      </c>
      <c r="C21" s="29">
        <f>IF($B21="","",IFERROR(INDEX($K$6:$K$30,MATCH($B21,$I$6:$I$30,0)),"종목표에 없음"))</f>
        <v/>
      </c>
      <c r="D21" s="30" t="n"/>
      <c r="E21" s="31" t="n"/>
      <c r="F21" s="32">
        <f>IF($B21="","",IFERROR($C21*$E21,""))</f>
        <v/>
      </c>
      <c r="G21" s="39" t="n"/>
      <c r="I21" s="28" t="n"/>
      <c r="J21" s="28" t="n"/>
      <c r="K21" s="29">
        <f>IF($I21="","",IF($J21="",$X21,IFERROR(GOOGLEFINANCE($J21,"price"),$X21)))</f>
        <v/>
      </c>
      <c r="L21" s="29">
        <f>IF($I21="","",IFERROR(SUMPRODUCT(($B$2:$B$54=$I21)*$D$2:$D$54*$E$2:$E$54)/$P21,""))</f>
        <v/>
      </c>
      <c r="M21" s="29">
        <f>IF($J21="","",IFERROR(GOOGLEFINANCE($J21,"price")-GOOGLEFINANCE($J21,"closeyest"),""))</f>
        <v/>
      </c>
      <c r="N21" s="41">
        <f>IF($J21="","",IFERROR(GOOGLEFINANCE($J21,"changepct")/100,""))</f>
        <v/>
      </c>
      <c r="O21" s="42">
        <f>IF($J21="","",IFERROR(GOOGLEFINANCE($J21,"tradetime"),""))</f>
        <v/>
      </c>
      <c r="P21" s="43">
        <f>IF($I21="","",SUMIF($B$2:$B$54,$I21,$E$2:$E$54))</f>
        <v/>
      </c>
      <c r="Q21" s="32">
        <f>IF($I21="","",IFERROR($K21*$P21,""))</f>
        <v/>
      </c>
      <c r="R21" s="41">
        <f>IF($I21="","",IFERROR($Q21/$Q$32,""))</f>
        <v/>
      </c>
      <c r="S21" s="41">
        <f>IF($I21="","",IF($W21="","",IFERROR(INDEX($L$2:$T$2,MATCH($W21,$L$1:$T$1,0))*IF(SUMIF($W$6:$W$30,$W21,$Q$6:$Q$30)=0,1/COUNTIF($W$6:$W$30,$W21),$Q21/SUMIF($W$6:$W$30,$W21,$Q$6:$Q$30)),"")))</f>
        <v/>
      </c>
      <c r="T21" s="32">
        <f>IF($I21="","",IFERROR($S21*$Q$32,""))</f>
        <v/>
      </c>
      <c r="U21" s="32">
        <f>IF($I21="","",IFERROR($T21-$Q21,""))</f>
        <v/>
      </c>
      <c r="V21" s="43">
        <f>IF($I21="","",IFERROR($U21/$K21,""))</f>
        <v/>
      </c>
      <c r="W21" s="44" t="n"/>
      <c r="X21" s="30" t="n"/>
    </row>
    <row r="22" ht="18.6" customHeight="1" s="23" thickBot="1" thickTop="1">
      <c r="A22" s="39" t="n"/>
      <c r="B22" s="28" t="inlineStr">
        <is>
          <t>KODEX 인도Nifty50</t>
        </is>
      </c>
      <c r="C22" s="29">
        <f>IF($B22="","",IFERROR(INDEX($K$6:$K$30,MATCH($B22,$I$6:$I$30,0)),"종목표에 없음"))</f>
        <v/>
      </c>
      <c r="D22" s="30" t="n"/>
      <c r="E22" s="31" t="n"/>
      <c r="F22" s="32">
        <f>IF($B22="","",IFERROR($C22*$E22,""))</f>
        <v/>
      </c>
      <c r="G22" s="39" t="n"/>
      <c r="I22" s="28" t="n"/>
      <c r="J22" s="28" t="n"/>
      <c r="K22" s="29">
        <f>IF($I22="","",IF($J22="",$X22,IFERROR(GOOGLEFINANCE($J22,"price"),$X22)))</f>
        <v/>
      </c>
      <c r="L22" s="29">
        <f>IF($I22="","",IFERROR(SUMPRODUCT(($B$2:$B$54=$I22)*$D$2:$D$54*$E$2:$E$54)/$P22,""))</f>
        <v/>
      </c>
      <c r="M22" s="29">
        <f>IF($J22="","",IFERROR(GOOGLEFINANCE($J22,"price")-GOOGLEFINANCE($J22,"closeyest"),""))</f>
        <v/>
      </c>
      <c r="N22" s="41">
        <f>IF($J22="","",IFERROR(GOOGLEFINANCE($J22,"changepct")/100,""))</f>
        <v/>
      </c>
      <c r="O22" s="42">
        <f>IF($J22="","",IFERROR(GOOGLEFINANCE($J22,"tradetime"),""))</f>
        <v/>
      </c>
      <c r="P22" s="43">
        <f>IF($I22="","",SUMIF($B$2:$B$54,$I22,$E$2:$E$54))</f>
        <v/>
      </c>
      <c r="Q22" s="32">
        <f>IF($I22="","",IFERROR($K22*$P22,""))</f>
        <v/>
      </c>
      <c r="R22" s="41">
        <f>IF($I22="","",IFERROR($Q22/$Q$32,""))</f>
        <v/>
      </c>
      <c r="S22" s="41">
        <f>IF($I22="","",IF($W22="","",IFERROR(INDEX($L$2:$T$2,MATCH($W22,$L$1:$T$1,0))*IF(SUMIF($W$6:$W$30,$W22,$Q$6:$Q$30)=0,1/COUNTIF($W$6:$W$30,$W22),$Q22/SUMIF($W$6:$W$30,$W22,$Q$6:$Q$30)),"")))</f>
        <v/>
      </c>
      <c r="T22" s="32">
        <f>IF($I22="","",IFERROR($S22*$Q$32,""))</f>
        <v/>
      </c>
      <c r="U22" s="32">
        <f>IF($I22="","",IFERROR($T22-$Q22,""))</f>
        <v/>
      </c>
      <c r="V22" s="43">
        <f>IF($I22="","",IFERROR($U22/$K22,""))</f>
        <v/>
      </c>
      <c r="W22" s="44" t="n"/>
      <c r="X22" s="30" t="n"/>
    </row>
    <row r="23" ht="18.6" customHeight="1" s="23" thickBot="1" thickTop="1">
      <c r="A23" s="27" t="inlineStr">
        <is>
          <t>진희ISA</t>
        </is>
      </c>
      <c r="B23" s="28" t="inlineStr">
        <is>
          <t>ACE 미국나스닥100</t>
        </is>
      </c>
      <c r="C23" s="29">
        <f>IF($B23="","",IFERROR(INDEX($K$6:$K$30,MATCH($B23,$I$6:$I$30,0)),"종목표에 없음"))</f>
        <v/>
      </c>
      <c r="D23" s="30" t="n"/>
      <c r="E23" s="31" t="n"/>
      <c r="F23" s="32">
        <f>IF($B23="","",IFERROR($C23*$E23,""))</f>
        <v/>
      </c>
      <c r="G23" s="33">
        <f>SUM($F23:$F29)</f>
        <v/>
      </c>
      <c r="I23" s="28" t="n"/>
      <c r="J23" s="28" t="n"/>
      <c r="K23" s="29">
        <f>IF($I23="","",IF($J23="",$X23,IFERROR(GOOGLEFINANCE($J23,"price"),$X23)))</f>
        <v/>
      </c>
      <c r="L23" s="29">
        <f>IF($I23="","",IFERROR(SUMPRODUCT(($B$2:$B$54=$I23)*$D$2:$D$54*$E$2:$E$54)/$P23,""))</f>
        <v/>
      </c>
      <c r="M23" s="29">
        <f>IF($J23="","",IFERROR(GOOGLEFINANCE($J23,"price")-GOOGLEFINANCE($J23,"closeyest"),""))</f>
        <v/>
      </c>
      <c r="N23" s="41">
        <f>IF($J23="","",IFERROR(GOOGLEFINANCE($J23,"changepct")/100,""))</f>
        <v/>
      </c>
      <c r="O23" s="42">
        <f>IF($J23="","",IFERROR(GOOGLEFINANCE($J23,"tradetime"),""))</f>
        <v/>
      </c>
      <c r="P23" s="43">
        <f>IF($I23="","",SUMIF($B$2:$B$54,$I23,$E$2:$E$54))</f>
        <v/>
      </c>
      <c r="Q23" s="32">
        <f>IF($I23="","",IFERROR($K23*$P23,""))</f>
        <v/>
      </c>
      <c r="R23" s="41">
        <f>IF($I23="","",IFERROR($Q23/$Q$32,""))</f>
        <v/>
      </c>
      <c r="S23" s="41">
        <f>IF($I23="","",IF($W23="","",IFERROR(INDEX($L$2:$T$2,MATCH($W23,$L$1:$T$1,0))*IF(SUMIF($W$6:$W$30,$W23,$Q$6:$Q$30)=0,1/COUNTIF($W$6:$W$30,$W23),$Q23/SUMIF($W$6:$W$30,$W23,$Q$6:$Q$30)),"")))</f>
        <v/>
      </c>
      <c r="T23" s="32">
        <f>IF($I23="","",IFERROR($S23*$Q$32,""))</f>
        <v/>
      </c>
      <c r="U23" s="32">
        <f>IF($I23="","",IFERROR($T23-$Q23,""))</f>
        <v/>
      </c>
      <c r="V23" s="43">
        <f>IF($I23="","",IFERROR($U23/$K23,""))</f>
        <v/>
      </c>
      <c r="W23" s="44" t="n"/>
      <c r="X23" s="30" t="n"/>
    </row>
    <row r="24" ht="18.6" customHeight="1" s="23" thickBot="1" thickTop="1">
      <c r="A24" s="39" t="n"/>
      <c r="B24" s="28" t="inlineStr">
        <is>
          <t>TIGER  미국S&amp;P500</t>
        </is>
      </c>
      <c r="C24" s="29">
        <f>IF($B24="","",IFERROR(INDEX($K$6:$K$30,MATCH($B24,$I$6:$I$30,0)),"종목표에 없음"))</f>
        <v/>
      </c>
      <c r="D24" s="30" t="n"/>
      <c r="E24" s="31" t="n"/>
      <c r="F24" s="32">
        <f>IF($B24="","",IFERROR($C24*$E24,""))</f>
        <v/>
      </c>
      <c r="G24" s="39" t="n"/>
      <c r="I24" s="28" t="inlineStr">
        <is>
          <t>금 99.99K</t>
        </is>
      </c>
      <c r="J24" s="28" t="n"/>
      <c r="K24" s="29">
        <f>IF($I24="","",IF($J24="",$X24,IFERROR(GOOGLEFINANCE($J24,"price"),$X24)))</f>
        <v/>
      </c>
      <c r="L24" s="29">
        <f>IF($I24="","",IFERROR(SUMPRODUCT(($B$2:$B$54=$I24)*$D$2:$D$54*$E$2:$E$54)/$P24,""))</f>
        <v/>
      </c>
      <c r="M24" s="29">
        <f>IF($J24="","",IFERROR(GOOGLEFINANCE($J24,"price")-GOOGLEFINANCE($J24,"closeyest"),""))</f>
        <v/>
      </c>
      <c r="N24" s="41">
        <f>IF($J24="","",IFERROR(GOOGLEFINANCE($J24,"changepct")/100,""))</f>
        <v/>
      </c>
      <c r="O24" s="42">
        <f>IF($J24="","",IFERROR(GOOGLEFINANCE($J24,"tradetime"),""))</f>
        <v/>
      </c>
      <c r="P24" s="43">
        <f>IF($I24="","",SUMIF($B$2:$B$54,$I24,$E$2:$E$54))</f>
        <v/>
      </c>
      <c r="Q24" s="32">
        <f>IF($I24="","",IFERROR($K24*$P24,""))</f>
        <v/>
      </c>
      <c r="R24" s="41">
        <f>IF($I24="","",IFERROR($Q24/$Q$32,""))</f>
        <v/>
      </c>
      <c r="S24" s="41">
        <f>IF($I24="","",IF($W24="","",IFERROR(INDEX($L$2:$T$2,MATCH($W24,$L$1:$T$1,0))*IF(SUMIF($W$6:$W$30,$W24,$Q$6:$Q$30)=0,1/COUNTIF($W$6:$W$30,$W24),$Q24/SUMIF($W$6:$W$30,$W24,$Q$6:$Q$30)),"")))</f>
        <v/>
      </c>
      <c r="T24" s="32">
        <f>IF($I24="","",IFERROR($S24*$Q$32,""))</f>
        <v/>
      </c>
      <c r="U24" s="32">
        <f>IF($I24="","",IFERROR($T24-$Q24,""))</f>
        <v/>
      </c>
      <c r="V24" s="43">
        <f>IF($I24="","",IFERROR($U24/$K24,""))</f>
        <v/>
      </c>
      <c r="W24" s="44" t="inlineStr">
        <is>
          <t>금</t>
        </is>
      </c>
      <c r="X24" s="30" t="n"/>
    </row>
    <row r="25" ht="18.6" customHeight="1" s="23" thickBot="1" thickTop="1">
      <c r="A25" s="39" t="n"/>
      <c r="B25" s="28" t="inlineStr">
        <is>
          <t>TIGER  미국배당다우존스</t>
        </is>
      </c>
      <c r="C25" s="29">
        <f>IF($B25="","",IFERROR(INDEX($K$6:$K$30,MATCH($B25,$I$6:$I$30,0)),"종목표에 없음"))</f>
        <v/>
      </c>
      <c r="D25" s="30" t="n"/>
      <c r="E25" s="31" t="n"/>
      <c r="F25" s="32">
        <f>IF($B25="","",IFERROR($C25*$E25,""))</f>
        <v/>
      </c>
      <c r="G25" s="39" t="n"/>
      <c r="I25" s="28" t="inlineStr">
        <is>
          <t>비트코인</t>
        </is>
      </c>
      <c r="J25" s="28" t="n"/>
      <c r="K25" s="29">
        <f>IF($I25="","",IF($J25="",$X25,IFERROR(GOOGLEFINANCE($J25,"price"),$X25)))</f>
        <v/>
      </c>
      <c r="L25" s="29">
        <f>IF($I25="","",IFERROR(SUMPRODUCT(($B$2:$B$54=$I25)*$D$2:$D$54*$E$2:$E$54)/$P25,""))</f>
        <v/>
      </c>
      <c r="M25" s="29">
        <f>IF($J25="","",IFERROR(GOOGLEFINANCE($J25,"price")-GOOGLEFINANCE($J25,"closeyest"),""))</f>
        <v/>
      </c>
      <c r="N25" s="41">
        <f>IF($J25="","",IFERROR(GOOGLEFINANCE($J25,"changepct")/100,""))</f>
        <v/>
      </c>
      <c r="O25" s="42">
        <f>IF($J25="","",IFERROR(GOOGLEFINANCE($J25,"tradetime"),""))</f>
        <v/>
      </c>
      <c r="P25" s="43">
        <f>IF($I25="","",SUMIF($B$2:$B$54,$I25,$E$2:$E$54))</f>
        <v/>
      </c>
      <c r="Q25" s="32">
        <f>IF($I25="","",IFERROR($K25*$P25,""))</f>
        <v/>
      </c>
      <c r="R25" s="41">
        <f>IF($I25="","",IFERROR($Q25/$Q$32,""))</f>
        <v/>
      </c>
      <c r="S25" s="41">
        <f>IF($I25="","",IF($W25="","",IFERROR(INDEX($L$2:$T$2,MATCH($W25,$L$1:$T$1,0))*IF(SUMIF($W$6:$W$30,$W25,$Q$6:$Q$30)=0,1/COUNTIF($W$6:$W$30,$W25),$Q25/SUMIF($W$6:$W$30,$W25,$Q$6:$Q$30)),"")))</f>
        <v/>
      </c>
      <c r="T25" s="32">
        <f>IF($I25="","",IFERROR($S25*$Q$32,""))</f>
        <v/>
      </c>
      <c r="U25" s="32">
        <f>IF($I25="","",IFERROR($T25-$Q25,""))</f>
        <v/>
      </c>
      <c r="V25" s="43">
        <f>IF($I25="","",IFERROR($U25/$K25,""))</f>
        <v/>
      </c>
      <c r="W25" s="44" t="inlineStr">
        <is>
          <t>비트코인</t>
        </is>
      </c>
      <c r="X25" s="30" t="n"/>
    </row>
    <row r="26" ht="18.6" customHeight="1" s="23" thickBot="1" thickTop="1">
      <c r="A26" s="39" t="n"/>
      <c r="B26" s="28" t="inlineStr">
        <is>
          <t>KODEX 200TR</t>
        </is>
      </c>
      <c r="C26" s="29">
        <f>IF($B26="","",IFERROR(INDEX($K$6:$K$30,MATCH($B26,$I$6:$I$30,0)),"종목표에 없음"))</f>
        <v/>
      </c>
      <c r="D26" s="30" t="n"/>
      <c r="E26" s="31" t="n"/>
      <c r="F26" s="32">
        <f>IF($B26="","",IFERROR($C26*$E26,""))</f>
        <v/>
      </c>
      <c r="G26" s="39" t="n"/>
      <c r="I26" s="28" t="inlineStr">
        <is>
          <t>이더리움</t>
        </is>
      </c>
      <c r="J26" s="28" t="n"/>
      <c r="K26" s="29">
        <f>IF($I26="","",IF($J26="",$X26,IFERROR(GOOGLEFINANCE($J26,"price"),$X26)))</f>
        <v/>
      </c>
      <c r="L26" s="29">
        <f>IF($I26="","",IFERROR(SUMPRODUCT(($B$2:$B$54=$I26)*$D$2:$D$54*$E$2:$E$54)/$P26,""))</f>
        <v/>
      </c>
      <c r="M26" s="29">
        <f>IF($J26="","",IFERROR(GOOGLEFINANCE($J26,"price")-GOOGLEFINANCE($J26,"closeyest"),""))</f>
        <v/>
      </c>
      <c r="N26" s="41">
        <f>IF($J26="","",IFERROR(GOOGLEFINANCE($J26,"changepct")/100,""))</f>
        <v/>
      </c>
      <c r="O26" s="42">
        <f>IF($J26="","",IFERROR(GOOGLEFINANCE($J26,"tradetime"),""))</f>
        <v/>
      </c>
      <c r="P26" s="43">
        <f>IF($I26="","",SUMIF($B$2:$B$54,$I26,$E$2:$E$54))</f>
        <v/>
      </c>
      <c r="Q26" s="32">
        <f>IF($I26="","",IFERROR($K26*$P26,""))</f>
        <v/>
      </c>
      <c r="R26" s="41">
        <f>IF($I26="","",IFERROR($Q26/$Q$32,""))</f>
        <v/>
      </c>
      <c r="S26" s="41">
        <f>IF($I26="","",IF($W26="","",IFERROR(INDEX($L$2:$T$2,MATCH($W26,$L$1:$T$1,0))*IF(SUMIF($W$6:$W$30,$W26,$Q$6:$Q$30)=0,1/COUNTIF($W$6:$W$30,$W26),$Q26/SUMIF($W$6:$W$30,$W26,$Q$6:$Q$30)),"")))</f>
        <v/>
      </c>
      <c r="T26" s="32">
        <f>IF($I26="","",IFERROR($S26*$Q$32,""))</f>
        <v/>
      </c>
      <c r="U26" s="32">
        <f>IF($I26="","",IFERROR($T26-$Q26,""))</f>
        <v/>
      </c>
      <c r="V26" s="43">
        <f>IF($I26="","",IFERROR($U26/$K26,""))</f>
        <v/>
      </c>
      <c r="W26" s="44" t="inlineStr">
        <is>
          <t>이더리움</t>
        </is>
      </c>
      <c r="X26" s="30" t="n"/>
    </row>
    <row r="27" ht="18.6" customHeight="1" s="23" thickBot="1" thickTop="1">
      <c r="A27" s="39" t="n"/>
      <c r="B27" s="28" t="inlineStr">
        <is>
          <t>TIGER 일본니케이225</t>
        </is>
      </c>
      <c r="C27" s="29">
        <f>IF($B27="","",IFERROR(INDEX($K$6:$K$30,MATCH($B27,$I$6:$I$30,0)),"종목표에 없음"))</f>
        <v/>
      </c>
      <c r="D27" s="30" t="n"/>
      <c r="E27" s="31" t="n"/>
      <c r="F27" s="32">
        <f>IF($B27="","",IFERROR($C27*$E27,""))</f>
        <v/>
      </c>
      <c r="G27" s="39" t="n"/>
      <c r="I27" s="28" t="inlineStr">
        <is>
          <t>현금</t>
        </is>
      </c>
      <c r="J27" s="28" t="n"/>
      <c r="K27" s="29">
        <f>IF($I27="","",IF($J27="",$X27,IFERROR(GOOGLEFINANCE($J27,"price"),$X27)))</f>
        <v/>
      </c>
      <c r="L27" s="29">
        <f>IF($I27="","",IFERROR(SUMPRODUCT(($B$2:$B$54=$I27)*$D$2:$D$54*$E$2:$E$54)/$P27,""))</f>
        <v/>
      </c>
      <c r="M27" s="29">
        <f>IF($J27="","",IFERROR(GOOGLEFINANCE($J27,"price")-GOOGLEFINANCE($J27,"closeyest"),""))</f>
        <v/>
      </c>
      <c r="N27" s="41">
        <f>IF($J27="","",IFERROR(GOOGLEFINANCE($J27,"changepct")/100,""))</f>
        <v/>
      </c>
      <c r="O27" s="42">
        <f>IF($J27="","",IFERROR(GOOGLEFINANCE($J27,"tradetime"),""))</f>
        <v/>
      </c>
      <c r="P27" s="43">
        <f>IF($I27="","",SUMIF($B$2:$B$54,$I27,$E$2:$E$54))</f>
        <v/>
      </c>
      <c r="Q27" s="32">
        <f>IF($I27="","",IFERROR($K27*$P27,""))</f>
        <v/>
      </c>
      <c r="R27" s="41">
        <f>IF($I27="","",IFERROR($Q27/$Q$32,""))</f>
        <v/>
      </c>
      <c r="S27" s="41">
        <f>IF($I27="","",IF($W27="","",IFERROR(INDEX($L$2:$T$2,MATCH($W27,$L$1:$T$1,0))*IF(SUMIF($W$6:$W$30,$W27,$Q$6:$Q$30)=0,1/COUNTIF($W$6:$W$30,$W27),$Q27/SUMIF($W$6:$W$30,$W27,$Q$6:$Q$30)),"")))</f>
        <v/>
      </c>
      <c r="T27" s="32">
        <f>IF($I27="","",IFERROR($S27*$Q$32,""))</f>
        <v/>
      </c>
      <c r="U27" s="32">
        <f>IF($I27="","",IFERROR($T27-$Q27,""))</f>
        <v/>
      </c>
      <c r="V27" s="43">
        <f>IF($I27="","",IFERROR($U27/$K27,""))</f>
        <v/>
      </c>
      <c r="W27" s="44" t="inlineStr">
        <is>
          <t>현금</t>
        </is>
      </c>
      <c r="X27" s="30" t="n"/>
    </row>
    <row r="28" ht="18.6" customHeight="1" s="23" thickBot="1" thickTop="1">
      <c r="A28" s="39" t="n"/>
      <c r="B28" s="28" t="inlineStr">
        <is>
          <t>KODEX 차이나CSI300</t>
        </is>
      </c>
      <c r="C28" s="29">
        <f>IF($B28="","",IFERROR(INDEX($K$6:$K$30,MATCH($B28,$I$6:$I$30,0)),"종목표에 없음"))</f>
        <v/>
      </c>
      <c r="D28" s="30" t="n"/>
      <c r="E28" s="31" t="n"/>
      <c r="F28" s="32">
        <f>IF($B28="","",IFERROR($C28*$E28,""))</f>
        <v/>
      </c>
      <c r="G28" s="39" t="n"/>
      <c r="I28" s="28" t="n"/>
      <c r="J28" s="28" t="n"/>
      <c r="K28" s="29">
        <f>IF($I28="","",IF($J28="",$X28,IFERROR(GOOGLEFINANCE($J28,"price"),$X28)))</f>
        <v/>
      </c>
      <c r="L28" s="29">
        <f>IF($I28="","",IFERROR(SUMPRODUCT(($B$2:$B$54=$I28)*$D$2:$D$54*$E$2:$E$54)/$P28,""))</f>
        <v/>
      </c>
      <c r="M28" s="29">
        <f>IF($J28="","",IFERROR(GOOGLEFINANCE($J28,"price")-GOOGLEFINANCE($J28,"closeyest"),""))</f>
        <v/>
      </c>
      <c r="N28" s="41">
        <f>IF($J28="","",IFERROR(GOOGLEFINANCE($J28,"changepct")/100,""))</f>
        <v/>
      </c>
      <c r="O28" s="42">
        <f>IF($J28="","",IFERROR(GOOGLEFINANCE($J28,"tradetime"),""))</f>
        <v/>
      </c>
      <c r="P28" s="43">
        <f>IF($I28="","",SUMIF($B$2:$B$54,$I28,$E$2:$E$54))</f>
        <v/>
      </c>
      <c r="Q28" s="32">
        <f>IF($I28="","",IFERROR($K28*$P28,""))</f>
        <v/>
      </c>
      <c r="R28" s="41">
        <f>IF($I28="","",IFERROR($Q28/$Q$32,""))</f>
        <v/>
      </c>
      <c r="S28" s="41">
        <f>IF($I28="","",IF($W28="","",IFERROR(INDEX($L$2:$T$2,MATCH($W28,$L$1:$T$1,0))*IF(SUMIF($W$6:$W$30,$W28,$Q$6:$Q$30)=0,1/COUNTIF($W$6:$W$30,$W28),$Q28/SUMIF($W$6:$W$30,$W28,$Q$6:$Q$30)),"")))</f>
        <v/>
      </c>
      <c r="T28" s="32">
        <f>IF($I28="","",IFERROR($S28*$Q$32,""))</f>
        <v/>
      </c>
      <c r="U28" s="32">
        <f>IF($I28="","",IFERROR($T28-$Q28,""))</f>
        <v/>
      </c>
      <c r="V28" s="43">
        <f>IF($I28="","",IFERROR($U28/$K28,""))</f>
        <v/>
      </c>
      <c r="W28" s="44" t="n"/>
      <c r="X28" s="30" t="n"/>
    </row>
    <row r="29" ht="18.6" customHeight="1" s="23" thickBot="1" thickTop="1">
      <c r="A29" s="39" t="n"/>
      <c r="B29" s="28" t="inlineStr">
        <is>
          <t>KODEX 인도Nifty50</t>
        </is>
      </c>
      <c r="C29" s="29">
        <f>IF($B29="","",IFERROR(INDEX($K$6:$K$30,MATCH($B29,$I$6:$I$30,0)),"종목표에 없음"))</f>
        <v/>
      </c>
      <c r="D29" s="30" t="n"/>
      <c r="E29" s="31" t="n"/>
      <c r="F29" s="32">
        <f>IF($B29="","",IFERROR($C29*$E29,""))</f>
        <v/>
      </c>
      <c r="G29" s="39" t="n"/>
      <c r="I29" s="28" t="n"/>
      <c r="J29" s="28" t="n"/>
      <c r="K29" s="29">
        <f>IF($I29="","",IF($J29="",$X29,IFERROR(GOOGLEFINANCE($J29,"price"),$X29)))</f>
        <v/>
      </c>
      <c r="L29" s="29">
        <f>IF($I29="","",IFERROR(SUMPRODUCT(($B$2:$B$54=$I29)*$D$2:$D$54*$E$2:$E$54)/$P29,""))</f>
        <v/>
      </c>
      <c r="M29" s="29">
        <f>IF($J29="","",IFERROR(GOOGLEFINANCE($J29,"price")-GOOGLEFINANCE($J29,"closeyest"),""))</f>
        <v/>
      </c>
      <c r="N29" s="41">
        <f>IF($J29="","",IFERROR(GOOGLEFINANCE($J29,"changepct")/100,""))</f>
        <v/>
      </c>
      <c r="O29" s="42">
        <f>IF($J29="","",IFERROR(GOOGLEFINANCE($J29,"tradetime"),""))</f>
        <v/>
      </c>
      <c r="P29" s="43">
        <f>IF($I29="","",SUMIF($B$2:$B$54,$I29,$E$2:$E$54))</f>
        <v/>
      </c>
      <c r="Q29" s="32">
        <f>IF($I29="","",IFERROR($K29*$P29,""))</f>
        <v/>
      </c>
      <c r="R29" s="41">
        <f>IF($I29="","",IFERROR($Q29/$Q$32,""))</f>
        <v/>
      </c>
      <c r="S29" s="41">
        <f>IF($I29="","",IF($W29="","",IFERROR(INDEX($L$2:$T$2,MATCH($W29,$L$1:$T$1,0))*IF(SUMIF($W$6:$W$30,$W29,$Q$6:$Q$30)=0,1/COUNTIF($W$6:$W$30,$W29),$Q29/SUMIF($W$6:$W$30,$W29,$Q$6:$Q$30)),"")))</f>
        <v/>
      </c>
      <c r="T29" s="32">
        <f>IF($I29="","",IFERROR($S29*$Q$32,""))</f>
        <v/>
      </c>
      <c r="U29" s="32">
        <f>IF($I29="","",IFERROR($T29-$Q29,""))</f>
        <v/>
      </c>
      <c r="V29" s="43">
        <f>IF($I29="","",IFERROR($U29/$K29,""))</f>
        <v/>
      </c>
      <c r="W29" s="44" t="n"/>
      <c r="X29" s="30" t="n"/>
    </row>
    <row r="30" ht="18.6" customHeight="1" s="23" thickBot="1" thickTop="1">
      <c r="A30" s="27" t="inlineStr">
        <is>
          <t>삼성 IRP</t>
        </is>
      </c>
      <c r="B30" s="28" t="inlineStr">
        <is>
          <t>KODEX 미국나스닥100</t>
        </is>
      </c>
      <c r="C30" s="29">
        <f>IF($B30="","",IFERROR(INDEX($K$6:$K$30,MATCH($B30,$I$6:$I$30,0)),"종목표에 없음"))</f>
        <v/>
      </c>
      <c r="D30" s="30" t="n"/>
      <c r="E30" s="31" t="n"/>
      <c r="F30" s="32">
        <f>IF($B30="","",IFERROR($C30*$E30,""))</f>
        <v/>
      </c>
      <c r="G30" s="33">
        <f>SUM($F30:$F36)</f>
        <v/>
      </c>
      <c r="I30" s="28" t="n"/>
      <c r="J30" s="28" t="n"/>
      <c r="K30" s="29">
        <f>IF($I30="","",IF($J30="",$X30,IFERROR(GOOGLEFINANCE($J30,"price"),$X30)))</f>
        <v/>
      </c>
      <c r="L30" s="29">
        <f>IF($I30="","",IFERROR(SUMPRODUCT(($B$2:$B$54=$I30)*$D$2:$D$54*$E$2:$E$54)/$P30,""))</f>
        <v/>
      </c>
      <c r="M30" s="29">
        <f>IF($J30="","",IFERROR(GOOGLEFINANCE($J30,"price")-GOOGLEFINANCE($J30,"closeyest"),""))</f>
        <v/>
      </c>
      <c r="N30" s="41">
        <f>IF($J30="","",IFERROR(GOOGLEFINANCE($J30,"changepct")/100,""))</f>
        <v/>
      </c>
      <c r="O30" s="42">
        <f>IF($J30="","",IFERROR(GOOGLEFINANCE($J30,"tradetime"),""))</f>
        <v/>
      </c>
      <c r="P30" s="43">
        <f>IF($I30="","",SUMIF($B$2:$B$54,$I30,$E$2:$E$54))</f>
        <v/>
      </c>
      <c r="Q30" s="32">
        <f>IF($I30="","",IFERROR($K30*$P30,""))</f>
        <v/>
      </c>
      <c r="R30" s="41">
        <f>IF($I30="","",IFERROR($Q30/$Q$32,""))</f>
        <v/>
      </c>
      <c r="S30" s="41">
        <f>IF($I30="","",IF($W30="","",IFERROR(INDEX($L$2:$T$2,MATCH($W30,$L$1:$T$1,0))*IF(SUMIF($W$6:$W$30,$W30,$Q$6:$Q$30)=0,1/COUNTIF($W$6:$W$30,$W30),$Q30/SUMIF($W$6:$W$30,$W30,$Q$6:$Q$30)),"")))</f>
        <v/>
      </c>
      <c r="T30" s="32">
        <f>IF($I30="","",IFERROR($S30*$Q$32,""))</f>
        <v/>
      </c>
      <c r="U30" s="32">
        <f>IF($I30="","",IFERROR($T30-$Q30,""))</f>
        <v/>
      </c>
      <c r="V30" s="43">
        <f>IF($I30="","",IFERROR($U30/$K30,""))</f>
        <v/>
      </c>
      <c r="W30" s="44" t="n"/>
      <c r="X30" s="30" t="n"/>
    </row>
    <row r="31" ht="18.6" customHeight="1" s="23" thickBot="1" thickTop="1">
      <c r="A31" s="39" t="n"/>
      <c r="B31" s="28" t="inlineStr">
        <is>
          <t>KODEX 미국S&amp;P500</t>
        </is>
      </c>
      <c r="C31" s="29">
        <f>IF($B31="","",IFERROR(INDEX($K$6:$K$30,MATCH($B31,$I$6:$I$30,0)),"종목표에 없음"))</f>
        <v/>
      </c>
      <c r="D31" s="30" t="n"/>
      <c r="E31" s="31" t="n"/>
      <c r="F31" s="32">
        <f>IF($B31="","",IFERROR($C31*$E31,""))</f>
        <v/>
      </c>
      <c r="G31" s="39" t="n"/>
    </row>
    <row r="32" ht="18.6" customHeight="1" s="23" thickBot="1" thickTop="1">
      <c r="A32" s="39" t="n"/>
      <c r="B32" s="28" t="inlineStr">
        <is>
          <t>1Q미국S&amp;P500미국채혼합50액티브</t>
        </is>
      </c>
      <c r="C32" s="29">
        <f>IF($B32="","",IFERROR(INDEX($K$6:$K$30,MATCH($B32,$I$6:$I$30,0)),"종목표에 없음"))</f>
        <v/>
      </c>
      <c r="D32" s="30" t="n"/>
      <c r="E32" s="31" t="n"/>
      <c r="F32" s="32">
        <f>IF($B32="","",IFERROR($C32*$E32,""))</f>
        <v/>
      </c>
      <c r="G32" s="39" t="n"/>
      <c r="I32" s="45" t="inlineStr">
        <is>
          <t>합계</t>
        </is>
      </c>
      <c r="J32" s="46" t="n"/>
      <c r="K32" s="46" t="n"/>
      <c r="L32" s="46" t="n"/>
      <c r="M32" s="46" t="n"/>
      <c r="N32" s="46" t="n"/>
      <c r="O32" s="46" t="n"/>
      <c r="P32" s="47">
        <f>SUM(P$6:P$30)</f>
        <v/>
      </c>
      <c r="Q32" s="48">
        <f>SUM(Q$6:Q$30)</f>
        <v/>
      </c>
      <c r="R32" s="49">
        <f>SUM(R$6:R$30)</f>
        <v/>
      </c>
      <c r="S32" s="49">
        <f>SUM(S$6:S$30)</f>
        <v/>
      </c>
      <c r="T32" s="48">
        <f>SUM(T$6:T$30)</f>
        <v/>
      </c>
      <c r="U32" s="48">
        <f>SUM(U$6:U$30)</f>
        <v/>
      </c>
      <c r="V32" s="46" t="n"/>
    </row>
    <row r="33" ht="18.6" customHeight="1" s="23" thickBot="1" thickTop="1">
      <c r="A33" s="39" t="n"/>
      <c r="B33" s="28" t="n"/>
      <c r="C33" s="29">
        <f>IF($B33="","",IFERROR(INDEX($K$6:$K$30,MATCH($B33,$I$6:$I$30,0)),"종목표에 없음"))</f>
        <v/>
      </c>
      <c r="D33" s="30" t="n"/>
      <c r="E33" s="31" t="n"/>
      <c r="F33" s="32">
        <f>IF($B33="","",IFERROR($C33*$E33,""))</f>
        <v/>
      </c>
      <c r="G33" s="39" t="n"/>
    </row>
    <row r="34" ht="18.6" customHeight="1" s="23" thickBot="1" thickTop="1">
      <c r="A34" s="39" t="n"/>
      <c r="B34" s="28" t="n"/>
      <c r="C34" s="29">
        <f>IF($B34="","",IFERROR(INDEX($K$6:$K$30,MATCH($B34,$I$6:$I$30,0)),"종목표에 없음"))</f>
        <v/>
      </c>
      <c r="D34" s="30" t="n"/>
      <c r="E34" s="31" t="n"/>
      <c r="F34" s="32">
        <f>IF($B34="","",IFERROR($C34*$E34,""))</f>
        <v/>
      </c>
      <c r="G34" s="39" t="n"/>
    </row>
    <row r="35" ht="18.6" customHeight="1" s="23" thickBot="1" thickTop="1">
      <c r="A35" s="39" t="n"/>
      <c r="B35" s="28" t="n"/>
      <c r="C35" s="29">
        <f>IF($B35="","",IFERROR(INDEX($K$6:$K$30,MATCH($B35,$I$6:$I$30,0)),"종목표에 없음"))</f>
        <v/>
      </c>
      <c r="D35" s="30" t="n"/>
      <c r="E35" s="31" t="n"/>
      <c r="F35" s="32">
        <f>IF($B35="","",IFERROR($C35*$E35,""))</f>
        <v/>
      </c>
      <c r="G35" s="39" t="n"/>
    </row>
    <row r="36" ht="18.6" customHeight="1" s="23" thickBot="1" thickTop="1">
      <c r="A36" s="39" t="n"/>
      <c r="B36" s="28" t="n"/>
      <c r="C36" s="29">
        <f>IF($B36="","",IFERROR(INDEX($K$6:$K$30,MATCH($B36,$I$6:$I$30,0)),"종목표에 없음"))</f>
        <v/>
      </c>
      <c r="D36" s="30" t="n"/>
      <c r="E36" s="31" t="n"/>
      <c r="F36" s="32">
        <f>IF($B36="","",IFERROR($C36*$E36,""))</f>
        <v/>
      </c>
      <c r="G36" s="39" t="n"/>
    </row>
    <row r="37" ht="18.6" customHeight="1" s="23" thickBot="1" thickTop="1">
      <c r="A37" s="27" t="inlineStr">
        <is>
          <t>삼성 일반</t>
        </is>
      </c>
      <c r="B37" s="28" t="inlineStr">
        <is>
          <t>매그니피센트7 MAGS</t>
        </is>
      </c>
      <c r="C37" s="29">
        <f>IF($B37="","",IFERROR(INDEX($K$6:$K$30,MATCH($B37,$I$6:$I$30,0)),"종목표에 없음"))</f>
        <v/>
      </c>
      <c r="D37" s="30" t="n"/>
      <c r="E37" s="31" t="n"/>
      <c r="F37" s="32">
        <f>IF($B37="","",IFERROR($C37*$E37,""))</f>
        <v/>
      </c>
      <c r="G37" s="33">
        <f>SUM($F37:$F43)</f>
        <v/>
      </c>
    </row>
    <row r="38" ht="18.6" customHeight="1" s="23" thickBot="1" thickTop="1">
      <c r="A38" s="39" t="n"/>
      <c r="B38" s="28" t="inlineStr">
        <is>
          <t>Schwab SCHD</t>
        </is>
      </c>
      <c r="C38" s="29">
        <f>IF($B38="","",IFERROR(INDEX($K$6:$K$30,MATCH($B38,$I$6:$I$30,0)),"종목표에 없음"))</f>
        <v/>
      </c>
      <c r="D38" s="30" t="n"/>
      <c r="E38" s="31" t="n"/>
      <c r="F38" s="32">
        <f>IF($B38="","",IFERROR($C38*$E38,""))</f>
        <v/>
      </c>
      <c r="G38" s="39" t="n"/>
    </row>
    <row r="39" ht="18.6" customHeight="1" s="23" thickBot="1" thickTop="1">
      <c r="A39" s="39" t="n"/>
      <c r="B39" s="28" t="n"/>
      <c r="C39" s="29">
        <f>IF($B39="","",IFERROR(INDEX($K$6:$K$30,MATCH($B39,$I$6:$I$30,0)),"종목표에 없음"))</f>
        <v/>
      </c>
      <c r="D39" s="30" t="n"/>
      <c r="E39" s="31" t="n"/>
      <c r="F39" s="32">
        <f>IF($B39="","",IFERROR($C39*$E39,""))</f>
        <v/>
      </c>
      <c r="G39" s="39" t="n"/>
    </row>
    <row r="40" ht="18.6" customHeight="1" s="23" thickBot="1" thickTop="1">
      <c r="A40" s="39" t="n"/>
      <c r="B40" s="28" t="n"/>
      <c r="C40" s="29">
        <f>IF($B40="","",IFERROR(INDEX($K$6:$K$30,MATCH($B40,$I$6:$I$30,0)),"종목표에 없음"))</f>
        <v/>
      </c>
      <c r="D40" s="30" t="n"/>
      <c r="E40" s="31" t="n"/>
      <c r="F40" s="32">
        <f>IF($B40="","",IFERROR($C40*$E40,""))</f>
        <v/>
      </c>
      <c r="G40" s="39" t="n"/>
    </row>
    <row r="41" ht="18.6" customHeight="1" s="23" thickBot="1" thickTop="1">
      <c r="A41" s="39" t="n"/>
      <c r="B41" s="28" t="n"/>
      <c r="C41" s="29">
        <f>IF($B41="","",IFERROR(INDEX($K$6:$K$30,MATCH($B41,$I$6:$I$30,0)),"종목표에 없음"))</f>
        <v/>
      </c>
      <c r="D41" s="30" t="n"/>
      <c r="E41" s="31" t="n"/>
      <c r="F41" s="32">
        <f>IF($B41="","",IFERROR($C41*$E41,""))</f>
        <v/>
      </c>
      <c r="G41" s="39" t="n"/>
    </row>
    <row r="42" ht="18.6" customHeight="1" s="23" thickBot="1" thickTop="1">
      <c r="A42" s="39" t="n"/>
      <c r="B42" s="28" t="n"/>
      <c r="C42" s="29">
        <f>IF($B42="","",IFERROR(INDEX($K$6:$K$30,MATCH($B42,$I$6:$I$30,0)),"종목표에 없음"))</f>
        <v/>
      </c>
      <c r="D42" s="30" t="n"/>
      <c r="E42" s="31" t="n"/>
      <c r="F42" s="32">
        <f>IF($B42="","",IFERROR($C42*$E42,""))</f>
        <v/>
      </c>
      <c r="G42" s="39" t="n"/>
    </row>
    <row r="43" ht="18.6" customHeight="1" s="23" thickBot="1" thickTop="1">
      <c r="A43" s="39" t="n"/>
      <c r="B43" s="28" t="n"/>
      <c r="C43" s="29">
        <f>IF($B43="","",IFERROR(INDEX($K$6:$K$30,MATCH($B43,$I$6:$I$30,0)),"종목표에 없음"))</f>
        <v/>
      </c>
      <c r="D43" s="30" t="n"/>
      <c r="E43" s="31" t="n"/>
      <c r="F43" s="32">
        <f>IF($B43="","",IFERROR($C43*$E43,""))</f>
        <v/>
      </c>
      <c r="G43" s="39" t="n"/>
    </row>
    <row r="44" ht="18.6" customHeight="1" s="23" thickBot="1" thickTop="1">
      <c r="A44" s="27" t="inlineStr">
        <is>
          <t>미래 일반</t>
        </is>
      </c>
      <c r="B44" s="28" t="inlineStr">
        <is>
          <t>버크셔 해서웨이B BRK.B</t>
        </is>
      </c>
      <c r="C44" s="29">
        <f>IF($B44="","",IFERROR(INDEX($K$6:$K$30,MATCH($B44,$I$6:$I$30,0)),"종목표에 없음"))</f>
        <v/>
      </c>
      <c r="D44" s="30" t="n"/>
      <c r="E44" s="31" t="n"/>
      <c r="F44" s="32">
        <f>IF($B44="","",IFERROR($C44*$E44,""))</f>
        <v/>
      </c>
      <c r="G44" s="33">
        <f>SUM($F44:$F50)</f>
        <v/>
      </c>
    </row>
    <row r="45" ht="18.6" customHeight="1" s="23" thickBot="1" thickTop="1">
      <c r="A45" s="39" t="n"/>
      <c r="B45" s="28" t="n"/>
      <c r="C45" s="29">
        <f>IF($B45="","",IFERROR(INDEX($K$6:$K$30,MATCH($B45,$I$6:$I$30,0)),"종목표에 없음"))</f>
        <v/>
      </c>
      <c r="D45" s="30" t="n"/>
      <c r="E45" s="31" t="n"/>
      <c r="F45" s="32">
        <f>IF($B45="","",IFERROR($C45*$E45,""))</f>
        <v/>
      </c>
      <c r="G45" s="39" t="n"/>
    </row>
    <row r="46" ht="18.6" customHeight="1" s="23" thickBot="1" thickTop="1">
      <c r="A46" s="39" t="n"/>
      <c r="B46" s="28" t="n"/>
      <c r="C46" s="29">
        <f>IF($B46="","",IFERROR(INDEX($K$6:$K$30,MATCH($B46,$I$6:$I$30,0)),"종목표에 없음"))</f>
        <v/>
      </c>
      <c r="D46" s="30" t="n"/>
      <c r="E46" s="31" t="n"/>
      <c r="F46" s="32">
        <f>IF($B46="","",IFERROR($C46*$E46,""))</f>
        <v/>
      </c>
      <c r="G46" s="39" t="n"/>
    </row>
    <row r="47" ht="18.6" customHeight="1" s="23" thickBot="1" thickTop="1">
      <c r="A47" s="39" t="n"/>
      <c r="B47" s="28" t="n"/>
      <c r="C47" s="29">
        <f>IF($B47="","",IFERROR(INDEX($K$6:$K$30,MATCH($B47,$I$6:$I$30,0)),"종목표에 없음"))</f>
        <v/>
      </c>
      <c r="D47" s="30" t="n"/>
      <c r="E47" s="31" t="n"/>
      <c r="F47" s="32">
        <f>IF($B47="","",IFERROR($C47*$E47,""))</f>
        <v/>
      </c>
      <c r="G47" s="39" t="n"/>
    </row>
    <row r="48" ht="18.6" customHeight="1" s="23" thickBot="1" thickTop="1">
      <c r="A48" s="39" t="n"/>
      <c r="B48" s="28" t="n"/>
      <c r="C48" s="29">
        <f>IF($B48="","",IFERROR(INDEX($K$6:$K$30,MATCH($B48,$I$6:$I$30,0)),"종목표에 없음"))</f>
        <v/>
      </c>
      <c r="D48" s="30" t="n"/>
      <c r="E48" s="31" t="n"/>
      <c r="F48" s="32">
        <f>IF($B48="","",IFERROR($C48*$E48,""))</f>
        <v/>
      </c>
      <c r="G48" s="39" t="n"/>
    </row>
    <row r="49" ht="18.6" customHeight="1" s="23" thickBot="1" thickTop="1">
      <c r="A49" s="39" t="n"/>
      <c r="B49" s="28" t="n"/>
      <c r="C49" s="29">
        <f>IF($B49="","",IFERROR(INDEX($K$6:$K$30,MATCH($B49,$I$6:$I$30,0)),"종목표에 없음"))</f>
        <v/>
      </c>
      <c r="D49" s="30" t="n"/>
      <c r="E49" s="31" t="n"/>
      <c r="F49" s="32">
        <f>IF($B49="","",IFERROR($C49*$E49,""))</f>
        <v/>
      </c>
      <c r="G49" s="39" t="n"/>
    </row>
    <row r="50" ht="18.6" customHeight="1" s="23" thickBot="1" thickTop="1">
      <c r="A50" s="39" t="n"/>
      <c r="B50" s="28" t="n"/>
      <c r="C50" s="29">
        <f>IF($B50="","",IFERROR(INDEX($K$6:$K$30,MATCH($B50,$I$6:$I$30,0)),"종목표에 없음"))</f>
        <v/>
      </c>
      <c r="D50" s="30" t="n"/>
      <c r="E50" s="31" t="n"/>
      <c r="F50" s="32">
        <f>IF($B50="","",IFERROR($C50*$E50,""))</f>
        <v/>
      </c>
      <c r="G50" s="39" t="n"/>
    </row>
    <row r="51" ht="18.6" customHeight="1" s="23" thickBot="1" thickTop="1">
      <c r="A51" s="27" t="inlineStr">
        <is>
          <t>삼성 금현물</t>
        </is>
      </c>
      <c r="B51" s="28" t="inlineStr">
        <is>
          <t>금 99.99K</t>
        </is>
      </c>
      <c r="C51" s="29">
        <f>IF($B51="","",IFERROR(INDEX($K$6:$K$30,MATCH($B51,$I$6:$I$30,0)),"종목표에 없음"))</f>
        <v/>
      </c>
      <c r="D51" s="30" t="n"/>
      <c r="E51" s="31" t="n"/>
      <c r="F51" s="32">
        <f>IF($B51="","",IFERROR($C51*$E51,""))</f>
        <v/>
      </c>
      <c r="G51" s="33">
        <f>SUM($F51:$F51)</f>
        <v/>
      </c>
    </row>
    <row r="52" ht="18.6" customHeight="1" s="23" thickBot="1" thickTop="1">
      <c r="A52" s="27" t="inlineStr">
        <is>
          <t>업비트</t>
        </is>
      </c>
      <c r="B52" s="28" t="inlineStr">
        <is>
          <t>비트코인</t>
        </is>
      </c>
      <c r="C52" s="29">
        <f>IF($B52="","",IFERROR(INDEX($K$6:$K$30,MATCH($B52,$I$6:$I$30,0)),"종목표에 없음"))</f>
        <v/>
      </c>
      <c r="D52" s="30" t="n"/>
      <c r="E52" s="31" t="n"/>
      <c r="F52" s="32">
        <f>IF($B52="","",IFERROR($C52*$E52,""))</f>
        <v/>
      </c>
      <c r="G52" s="33">
        <f>SUM($F52:$F53)</f>
        <v/>
      </c>
    </row>
    <row r="53" ht="18.6" customHeight="1" s="23" thickBot="1" thickTop="1">
      <c r="A53" s="39" t="n"/>
      <c r="B53" s="28" t="inlineStr">
        <is>
          <t>이더리움</t>
        </is>
      </c>
      <c r="C53" s="29">
        <f>IF($B53="","",IFERROR(INDEX($K$6:$K$30,MATCH($B53,$I$6:$I$30,0)),"종목표에 없음"))</f>
        <v/>
      </c>
      <c r="D53" s="30" t="n"/>
      <c r="E53" s="31" t="n"/>
      <c r="F53" s="32">
        <f>IF($B53="","",IFERROR($C53*$E53,""))</f>
        <v/>
      </c>
      <c r="G53" s="39" t="n"/>
    </row>
    <row r="54" ht="18.6" customHeight="1" s="23" thickBot="1" thickTop="1">
      <c r="A54" s="27" t="inlineStr">
        <is>
          <t>CMA</t>
        </is>
      </c>
      <c r="B54" s="28" t="inlineStr">
        <is>
          <t>현금</t>
        </is>
      </c>
      <c r="C54" s="29">
        <f>IF($B54="","",IFERROR(INDEX($K$6:$K$30,MATCH($B54,$I$6:$I$30,0)),"종목표에 없음"))</f>
        <v/>
      </c>
      <c r="D54" s="30" t="n"/>
      <c r="E54" s="31" t="n"/>
      <c r="F54" s="32">
        <f>IF($B54="","",IFERROR($C54*$E54,""))</f>
        <v/>
      </c>
      <c r="G54" s="33">
        <f>SUM($F54:$F54)</f>
        <v/>
      </c>
    </row>
    <row r="55" ht="18" customHeight="1" s="23" thickTop="1"/>
  </sheetData>
  <mergeCells count="18">
    <mergeCell ref="G9:G15"/>
    <mergeCell ref="G30:G36"/>
    <mergeCell ref="G52:G53"/>
    <mergeCell ref="A16:A22"/>
    <mergeCell ref="A44:A50"/>
    <mergeCell ref="A52:A53"/>
    <mergeCell ref="A9:A15"/>
    <mergeCell ref="I2:J2"/>
    <mergeCell ref="G16:G22"/>
    <mergeCell ref="A23:A29"/>
    <mergeCell ref="A37:A43"/>
    <mergeCell ref="G37:G43"/>
    <mergeCell ref="A2:A8"/>
    <mergeCell ref="G23:G29"/>
    <mergeCell ref="G2:G8"/>
    <mergeCell ref="A30:A36"/>
    <mergeCell ref="G44:G50"/>
    <mergeCell ref="I3:J3"/>
  </mergeCells>
  <dataValidations count="2">
    <dataValidation sqref="W6:W30" showDropDown="0" showInputMessage="0" showErrorMessage="0" allowBlank="1" type="list">
      <formula1>=$L$1:$T$1</formula1>
    </dataValidation>
    <dataValidation sqref="B2:B54" showDropDown="0" showInputMessage="0" showErrorMessage="0" allowBlank="1" type="list">
      <formula1>=$I$6:$I$30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20" customWidth="1" style="23" min="1" max="1"/>
    <col width="104" customWidth="1" style="23" min="2" max="2"/>
  </cols>
  <sheetData>
    <row r="1">
      <c r="A1" s="50" t="inlineStr">
        <is>
          <t>이 표 쓰는 법</t>
        </is>
      </c>
    </row>
    <row r="3">
      <c r="A3" s="51" t="inlineStr"/>
      <c r="B3" s="52" t="inlineStr"/>
    </row>
    <row r="4">
      <c r="A4" s="53" t="inlineStr">
        <is>
          <t>■ 초록 칸만 채우세요</t>
        </is>
      </c>
      <c r="B4" s="52" t="inlineStr">
        <is>
          <t>나머지는 전부 수식입니다. 지우면 계산이 깨집니다.</t>
        </is>
      </c>
    </row>
    <row r="5">
      <c r="A5" s="51" t="inlineStr"/>
      <c r="B5" s="52" t="inlineStr"/>
    </row>
    <row r="6">
      <c r="A6" s="51" t="inlineStr">
        <is>
          <t xml:space="preserve">  왼쪽 (A~G)</t>
        </is>
      </c>
      <c r="B6" s="52" t="inlineStr">
        <is>
          <t>계좌별로 뭘 얼마에 몇 주 샀는지 적는 곳입니다.</t>
        </is>
      </c>
    </row>
    <row r="7">
      <c r="A7" s="51" t="inlineStr">
        <is>
          <t xml:space="preserve">  · 종목명(B)</t>
        </is>
      </c>
      <c r="B7" s="52" t="inlineStr">
        <is>
          <t>오른쪽 [종목] 표의 이름과 똑같이. 칸을 누르면 목록에서 고를 수 있습니다.</t>
        </is>
      </c>
    </row>
    <row r="8">
      <c r="A8" s="51" t="inlineStr">
        <is>
          <t xml:space="preserve">  · 매입가(D)</t>
        </is>
      </c>
      <c r="B8" s="52" t="inlineStr">
        <is>
          <t>그 계좌에서 산 평균 단가.</t>
        </is>
      </c>
    </row>
    <row r="9">
      <c r="A9" s="51" t="inlineStr">
        <is>
          <t xml:space="preserve">  · 수량(E)</t>
        </is>
      </c>
      <c r="B9" s="52" t="inlineStr">
        <is>
          <t>보유 주수.</t>
        </is>
      </c>
    </row>
    <row r="10">
      <c r="A10" s="51" t="inlineStr">
        <is>
          <t xml:space="preserve">  → 현재가·평가금액·계</t>
        </is>
      </c>
      <c r="B10" s="52" t="inlineStr">
        <is>
          <t>자동으로 나옵니다.</t>
        </is>
      </c>
    </row>
    <row r="11">
      <c r="A11" s="51" t="inlineStr"/>
      <c r="B11" s="52" t="inlineStr"/>
    </row>
    <row r="12">
      <c r="A12" s="51" t="inlineStr">
        <is>
          <t xml:space="preserve">  오른쪽 (I~X)</t>
        </is>
      </c>
      <c r="B12" s="52" t="inlineStr">
        <is>
          <t>종목 하나당 한 줄인 통합표입니다.</t>
        </is>
      </c>
    </row>
    <row r="13">
      <c r="A13" s="51" t="inlineStr">
        <is>
          <t xml:space="preserve">  · 종목(I)</t>
        </is>
      </c>
      <c r="B13" s="52" t="inlineStr">
        <is>
          <t>종목 이름.</t>
        </is>
      </c>
    </row>
    <row r="14">
      <c r="A14" s="51" t="inlineStr">
        <is>
          <t xml:space="preserve">  · 종목코드(J)</t>
        </is>
      </c>
      <c r="B14" s="52" t="inlineStr">
        <is>
          <t>구글파이낸스 코드. 넣으면 현재가·대비·등락률·갱신시간이 자동으로 붙습니다.</t>
        </is>
      </c>
    </row>
    <row r="15">
      <c r="A15" s="51" t="inlineStr"/>
      <c r="B15" s="52" t="inlineStr">
        <is>
          <t xml:space="preserve">    국내  KRX:069500      (여섯 자리 종목코드)</t>
        </is>
      </c>
    </row>
    <row r="16">
      <c r="A16" s="51" t="inlineStr"/>
      <c r="B16" s="52" t="inlineStr">
        <is>
          <t xml:space="preserve">    미국  NASDAQ:AAPL / NYSEARCA:SCHD / NYSE:BRK.B</t>
        </is>
      </c>
    </row>
    <row r="17">
      <c r="A17" s="51" t="inlineStr"/>
      <c r="B17" s="52" t="inlineStr">
        <is>
          <t xml:space="preserve">    코드는 구글에서 종목명을 검색하면 나옵니다. 확인하고 넣으세요.</t>
        </is>
      </c>
    </row>
    <row r="18">
      <c r="A18" s="51" t="inlineStr">
        <is>
          <t xml:space="preserve">  · 자산군(W)</t>
        </is>
      </c>
      <c r="B18" s="52" t="inlineStr">
        <is>
          <t>미국/일본/중국/한국/인도/금/비트코인/이더리움/현금 중에서 고릅니다.</t>
        </is>
      </c>
    </row>
    <row r="19">
      <c r="A19" s="51" t="inlineStr"/>
      <c r="B19" s="52" t="inlineStr">
        <is>
          <t xml:space="preserve">    이게 있어야 목표비율과 맞춰볼 수 있습니다. 칸을 누르면 목록이 나옵니다.</t>
        </is>
      </c>
    </row>
    <row r="20">
      <c r="A20" s="51" t="inlineStr">
        <is>
          <t xml:space="preserve">  · 수동 현재가(X)</t>
        </is>
      </c>
      <c r="B20" s="52" t="inlineStr">
        <is>
          <t>종목코드가 없거나 구글파이낸스가 못 찾는 종목(금 현물 등)의 가격.</t>
        </is>
      </c>
    </row>
    <row r="21">
      <c r="A21" s="51" t="inlineStr"/>
      <c r="B21" s="52" t="inlineStr">
        <is>
          <t xml:space="preserve">    종목코드가 있으면 이 칸은 무시됩니다.</t>
        </is>
      </c>
    </row>
    <row r="22">
      <c r="A22" s="51" t="inlineStr"/>
      <c r="B22" s="52" t="inlineStr"/>
    </row>
    <row r="23">
      <c r="A23" s="51" t="inlineStr">
        <is>
          <t xml:space="preserve">  위쪽 (L2~T2)</t>
        </is>
      </c>
      <c r="B23" s="52" t="inlineStr">
        <is>
          <t>자산군별 목표비율. 여기만 고치면 아래 계산이 전부 따라옵니다.</t>
        </is>
      </c>
    </row>
    <row r="24">
      <c r="A24" s="51" t="inlineStr"/>
      <c r="B24" s="52" t="inlineStr"/>
    </row>
    <row r="25">
      <c r="A25" s="53" t="inlineStr">
        <is>
          <t>■ 자동으로 나오는 것</t>
        </is>
      </c>
      <c r="B25" s="52" t="inlineStr"/>
    </row>
    <row r="26">
      <c r="A26" s="51" t="inlineStr">
        <is>
          <t xml:space="preserve">  현재비중(R)</t>
        </is>
      </c>
      <c r="B26" s="52" t="inlineStr">
        <is>
          <t>그 종목이 전체에서 차지하는 비율.</t>
        </is>
      </c>
    </row>
    <row r="27">
      <c r="A27" s="51" t="inlineStr">
        <is>
          <t xml:space="preserve">  목표비중(S)</t>
        </is>
      </c>
      <c r="B27" s="52" t="inlineStr">
        <is>
          <t>그 자산군 목표를, 자산군 안에서는 지금 금액 비율대로 나눈 값입니다.</t>
        </is>
      </c>
    </row>
    <row r="28">
      <c r="A28" s="51" t="inlineStr"/>
      <c r="B28" s="52" t="inlineStr">
        <is>
          <t xml:space="preserve">    (그 자산군이 아직 비어 있으면 종목 수대로 똑같이 나눕니다)</t>
        </is>
      </c>
    </row>
    <row r="29">
      <c r="A29" s="51" t="inlineStr">
        <is>
          <t xml:space="preserve">  목표금액(T)</t>
        </is>
      </c>
      <c r="B29" s="52" t="inlineStr">
        <is>
          <t>목표비중 × 전체 금액.</t>
        </is>
      </c>
    </row>
    <row r="30">
      <c r="A30" s="51" t="inlineStr">
        <is>
          <t xml:space="preserve">  매매금액(U)</t>
        </is>
      </c>
      <c r="B30" s="52" t="inlineStr">
        <is>
          <t>목표금액 − 지금 평가금액.  + 면 그만큼 더 사고, − 면 그만큼 팝니다.</t>
        </is>
      </c>
    </row>
    <row r="31">
      <c r="A31" s="51" t="inlineStr">
        <is>
          <t xml:space="preserve">  매매량(V)</t>
        </is>
      </c>
      <c r="B31" s="52" t="inlineStr">
        <is>
          <t>매매금액 ÷ 현재가. 몇 주 사고팔면 되는지.</t>
        </is>
      </c>
    </row>
    <row r="32">
      <c r="A32" s="51" t="inlineStr">
        <is>
          <t xml:space="preserve">  I3 칸</t>
        </is>
      </c>
      <c r="B32" s="52" t="inlineStr">
        <is>
          <t>왼쪽 계좌합계와 오른쪽 종목합계가 맞는지 스스로 검사합니다.</t>
        </is>
      </c>
    </row>
    <row r="33">
      <c r="A33" s="51" t="inlineStr"/>
      <c r="B33" s="52" t="inlineStr">
        <is>
          <t xml:space="preserve">    "다릅니다" 가 뜨면 왼쪽 종목명 중에 오른쪽 표에 없는 게 있다는 뜻입니다.</t>
        </is>
      </c>
    </row>
    <row r="34">
      <c r="A34" s="51" t="inlineStr"/>
      <c r="B34" s="52" t="inlineStr"/>
    </row>
    <row r="35">
      <c r="A35" s="53" t="inlineStr">
        <is>
          <t>■ 구글시트로 옮기기</t>
        </is>
      </c>
      <c r="B35" s="52" t="inlineStr">
        <is>
          <t>드라이브에 이 파일을 올리고 → 구글 스프레드시트로 열기.</t>
        </is>
      </c>
    </row>
    <row r="36">
      <c r="A36" s="51" t="inlineStr"/>
      <c r="B36" s="52" t="inlineStr">
        <is>
          <t>현재가가 붙는 GOOGLEFINANCE 는 구글시트에서만 돕니다.</t>
        </is>
      </c>
    </row>
    <row r="37">
      <c r="A37" s="51" t="inlineStr"/>
      <c r="B37" s="52" t="inlineStr">
        <is>
          <t>엑셀에서 열면 그 칸들만 #NAME? 으로 보입니다 (구글시트에 올리면 정상).</t>
        </is>
      </c>
    </row>
    <row r="38">
      <c r="A38" s="51" t="inlineStr"/>
      <c r="B38" s="52" t="inlineStr"/>
    </row>
    <row r="39">
      <c r="A39" s="53" t="inlineStr">
        <is>
          <t>■ 확인해 주세요</t>
        </is>
      </c>
      <c r="B39" s="52" t="inlineStr">
        <is>
          <t>지금 목표비율(L2~T2) 합이 150% 입니다. 100% 가 되게 고쳐 주세요.</t>
        </is>
      </c>
    </row>
    <row r="40">
      <c r="A40" s="51" t="inlineStr"/>
      <c r="B40" s="52" t="inlineStr">
        <is>
          <t>U2 칸에 합이 나오고, 100% 가 아니면 옆에 빨간 글씨로 알려줍니다.</t>
        </is>
      </c>
    </row>
    <row r="41">
      <c r="A41" s="51" t="inlineStr"/>
      <c r="B41" s="52" t="inlineStr"/>
    </row>
    <row r="42">
      <c r="A42" s="53" t="inlineStr">
        <is>
          <t>■ 넣을 수 있는 양</t>
        </is>
      </c>
      <c r="B42" s="52" t="inlineStr">
        <is>
          <t>계좌별 보유 53줄 / 종목 25개. 모자라면 마지막 줄을 복사해 늘리세요.</t>
        </is>
      </c>
    </row>
    <row r="44">
      <c r="A44" s="54" t="inlineStr">
        <is>
          <t>■■■</t>
        </is>
      </c>
      <c r="B44" s="51" t="inlineStr">
        <is>
          <t>이 색 = 채우는 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ChanHong Park</dc:creator>
  <dcterms:created xsi:type="dcterms:W3CDTF">2026-08-26T01:48:13Z</dcterms:created>
  <dcterms:modified xsi:type="dcterms:W3CDTF">2026-08-27T03:45:14Z</dcterms:modified>
  <cp:lastModifiedBy>ChanHong Park</cp:lastModifiedBy>
</cp:coreProperties>
</file>