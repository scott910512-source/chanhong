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종목정보" sheetId="2" state="visible" r:id="rId2"/>
    <sheet name="거래입력" sheetId="3" state="visible" r:id="rId3"/>
    <sheet name="보유현황" sheetId="4" state="visible" r:id="rId4"/>
    <sheet name="국가별" sheetId="5" state="visible" r:id="rId5"/>
    <sheet name="섹터별" sheetId="6" state="visible" r:id="rId6"/>
    <sheet name="설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####"/>
    <numFmt numFmtId="165" formatCode="0.0%"/>
    <numFmt numFmtId="166" formatCode="#,##0.####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sz val="10"/>
    </font>
    <font>
      <name val="Arial"/>
      <b val="1"/>
      <sz val="11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7CC"/>
      </patternFill>
    </fill>
    <fill>
      <patternFill patternType="solid">
        <fgColor rgb="002563EB"/>
      </patternFill>
    </fill>
    <fill>
      <patternFill patternType="solid">
        <fgColor rgb="00667085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2" borderId="1" pivotButton="0" quotePrefix="0" xfId="0"/>
    <xf numFmtId="166" fontId="5" fillId="2" borderId="1" pivotButton="0" quotePrefix="0" xfId="0"/>
    <xf numFmtId="0" fontId="2" fillId="0" borderId="1" pivotButton="0" quotePrefix="0" xfId="0"/>
    <xf numFmtId="0" fontId="7" fillId="4" borderId="1" applyAlignment="1" pivotButton="0" quotePrefix="0" xfId="0">
      <alignment horizontal="center" vertical="center" wrapText="1"/>
    </xf>
    <xf numFmtId="49" fontId="5" fillId="2" borderId="1" pivotButton="0" quotePrefix="0" xfId="0"/>
    <xf numFmtId="166" fontId="3" fillId="0" borderId="1" pivotButton="0" quotePrefix="0" xfId="0"/>
    <xf numFmtId="3" fontId="3" fillId="0" borderId="1" pivotButton="0" quotePrefix="0" xfId="0"/>
    <xf numFmtId="0" fontId="4" fillId="5" borderId="1" pivotButton="0" quotePrefix="0" xfId="0"/>
    <xf numFmtId="3" fontId="3" fillId="5" borderId="1" pivotButton="0" quotePrefix="0" xfId="0"/>
    <xf numFmtId="165" fontId="3" fillId="5" borderId="1" pivotButton="0" quotePrefix="0" xfId="0"/>
    <xf numFmtId="49" fontId="6" fillId="0" borderId="1" pivotButton="0" quotePrefix="0" xfId="0"/>
    <xf numFmtId="166" fontId="6" fillId="0" borderId="1" pivotButton="0" quotePrefix="0" xfId="0"/>
    <xf numFmtId="164" fontId="6" fillId="0" borderId="1" pivotButton="0" quotePrefix="0" xfId="0"/>
    <xf numFmtId="165" fontId="3" fillId="0" borderId="1" pivotButton="0" quotePrefix="0" xfId="0"/>
    <xf numFmtId="49" fontId="3" fillId="0" borderId="1" pivotButton="0" quotePrefix="0" xfId="0"/>
    <xf numFmtId="165" fontId="5" fillId="2" borderId="1" pivotButton="0" quotePrefix="0" xfId="0"/>
    <xf numFmtId="3" fontId="4" fillId="5" borderId="1" pivotButton="0" quotePrefix="0" xfId="0"/>
    <xf numFmtId="165" fontId="4" fillId="5" borderId="1" pivotButton="0" quotePrefix="0" xfId="0"/>
    <xf numFmtId="164" fontId="5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찬홍팍</author>
  </authors>
  <commentList>
    <comment ref="F3" authorId="0" shapeId="0">
      <text>
        <t>앱 → 현황 화면에서 현재가를 보고 옮겨 적으세요.
비워두면 산 값(매입가)으로 계산합니다.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찬홍팍 주식관리 엑셀</t>
        </is>
      </c>
    </row>
    <row r="2">
      <c r="A2" s="2" t="inlineStr">
        <is>
          <t>앱(chanhong)과 같은 계산 규칙을 엑셀 수식으로 옮긴 파일입니다.</t>
        </is>
      </c>
    </row>
    <row r="4">
      <c r="A4" s="3" t="inlineStr"/>
      <c r="B4" s="4" t="inlineStr"/>
    </row>
    <row r="5">
      <c r="A5" s="5" t="inlineStr">
        <is>
          <t>■ 손대는 곳</t>
        </is>
      </c>
      <c r="B5" s="4" t="inlineStr">
        <is>
          <t>노란 칸 + 파란 글씨. 이 셋만 채우면 나머지는 전부 자동으로 계산됩니다.</t>
        </is>
      </c>
    </row>
    <row r="6">
      <c r="A6" s="3" t="inlineStr">
        <is>
          <t xml:space="preserve">  1. 종목정보</t>
        </is>
      </c>
      <c r="B6" s="4" t="inlineStr">
        <is>
          <t>가진 종목을 등록합니다. 티커 / 종목명 / 국가 / 통화 / 섹터 / 현재가</t>
        </is>
      </c>
    </row>
    <row r="7">
      <c r="A7" s="3" t="inlineStr">
        <is>
          <t xml:space="preserve">  2. 거래입력</t>
        </is>
      </c>
      <c r="B7" s="4" t="inlineStr">
        <is>
          <t>산 날, 판 날을 한 줄씩 적습니다. 반드시 날짜 순으로 적으세요.</t>
        </is>
      </c>
    </row>
    <row r="8">
      <c r="A8" s="3" t="inlineStr">
        <is>
          <t xml:space="preserve">  3. 설정</t>
        </is>
      </c>
      <c r="B8" s="4" t="inlineStr">
        <is>
          <t>환율과 허용오차. 국가별·섹터별 시트의 목표 비중도 여기서 정합니다.</t>
        </is>
      </c>
    </row>
    <row r="9">
      <c r="A9" s="3" t="inlineStr"/>
      <c r="B9" s="4" t="inlineStr"/>
    </row>
    <row r="10">
      <c r="A10" s="5" t="inlineStr">
        <is>
          <t>■ 손대지 마세요</t>
        </is>
      </c>
      <c r="B10" s="4" t="inlineStr">
        <is>
          <t>검은 글씨 = 수식입니다. 지우면 계산이 깨집니다.</t>
        </is>
      </c>
    </row>
    <row r="11">
      <c r="A11" s="3" t="inlineStr"/>
      <c r="B11" s="4" t="inlineStr">
        <is>
          <t>초록 글씨 = 다른 시트에서 끌어온 값입니다.</t>
        </is>
      </c>
    </row>
    <row r="12">
      <c r="A12" s="3" t="inlineStr"/>
      <c r="B12" s="4" t="inlineStr"/>
    </row>
    <row r="13">
      <c r="A13" s="5" t="inlineStr">
        <is>
          <t>■ 자동으로 나오는 것</t>
        </is>
      </c>
      <c r="B13" s="4" t="inlineStr"/>
    </row>
    <row r="14">
      <c r="A14" s="3" t="inlineStr">
        <is>
          <t xml:space="preserve">  보유현황</t>
        </is>
      </c>
      <c r="B14" s="4" t="inlineStr">
        <is>
          <t>종목별 보유수량 / 평단 / 평가금액 / 손익 / 수익률 / 비중</t>
        </is>
      </c>
    </row>
    <row r="15">
      <c r="A15" s="3" t="inlineStr">
        <is>
          <t xml:space="preserve">  국가별</t>
        </is>
      </c>
      <c r="B15" s="4" t="inlineStr">
        <is>
          <t>국가별 비중과 목표 대비 판정 (비중 많음 / 적정 / 비중 적음)</t>
        </is>
      </c>
    </row>
    <row r="16">
      <c r="A16" s="3" t="inlineStr">
        <is>
          <t xml:space="preserve">  섹터별</t>
        </is>
      </c>
      <c r="B16" s="4" t="inlineStr">
        <is>
          <t>섹터별 비중과 목표 대비 판정</t>
        </is>
      </c>
    </row>
    <row r="17">
      <c r="A17" s="3" t="inlineStr"/>
      <c r="B17" s="4" t="inlineStr"/>
    </row>
    <row r="18">
      <c r="A18" s="5" t="inlineStr">
        <is>
          <t>■ 계산 규칙 (앱과 같음)</t>
        </is>
      </c>
      <c r="B18" s="4" t="inlineStr"/>
    </row>
    <row r="19">
      <c r="A19" s="3" t="inlineStr">
        <is>
          <t xml:space="preserve">  평단</t>
        </is>
      </c>
      <c r="B19" s="4" t="inlineStr">
        <is>
          <t>이동평균. 살 때 수수료를 매입원가에 포함합니다.</t>
        </is>
      </c>
    </row>
    <row r="20">
      <c r="A20" s="3" t="inlineStr"/>
      <c r="B20" s="4" t="inlineStr">
        <is>
          <t>팔아도 평단은 그대로 두고, 판 몫의 손익만 실현손익으로 뺍니다.</t>
        </is>
      </c>
    </row>
    <row r="21">
      <c r="A21" s="3" t="inlineStr">
        <is>
          <t xml:space="preserve">  시세가 없으면</t>
        </is>
      </c>
      <c r="B21" s="4" t="inlineStr">
        <is>
          <t>평가금액을 0 으로 두지 않고 산 값(매입가)으로 칩니다.</t>
        </is>
      </c>
    </row>
    <row r="22">
      <c r="A22" s="3" t="inlineStr"/>
      <c r="B22" s="4" t="inlineStr">
        <is>
          <t>0 으로 두면 방금 넣은 종목이 총자산에서 통째로 사라집니다.</t>
        </is>
      </c>
    </row>
    <row r="23">
      <c r="A23" s="3" t="inlineStr">
        <is>
          <t xml:space="preserve">  비중</t>
        </is>
      </c>
      <c r="B23" s="4" t="inlineStr">
        <is>
          <t>모든 금액을 기준통화(원)로 바꾼 뒤 계산합니다.</t>
        </is>
      </c>
    </row>
    <row r="24">
      <c r="A24" s="3" t="inlineStr">
        <is>
          <t xml:space="preserve">  판정</t>
        </is>
      </c>
      <c r="B24" s="4" t="inlineStr">
        <is>
          <t>목표 ± 허용오차 를 벗어나면 많음 / 적음으로 표시합니다.</t>
        </is>
      </c>
    </row>
    <row r="25">
      <c r="A25" s="3" t="inlineStr"/>
      <c r="B25" s="4" t="inlineStr"/>
    </row>
    <row r="26">
      <c r="A26" s="5" t="inlineStr">
        <is>
          <t>■ 앱에서 옮겨오기</t>
        </is>
      </c>
      <c r="B26" s="4" t="inlineStr">
        <is>
          <t>앱 → 설정 → 엑셀로 내려받기 → [거래내역] 시트를 통째로 복사해서</t>
        </is>
      </c>
    </row>
    <row r="27">
      <c r="A27" s="3" t="inlineStr"/>
      <c r="B27" s="4" t="inlineStr">
        <is>
          <t>이 파일 거래입력 시트 A4 에 붙여넣으면 됩니다. 열 순서가 같습니다.</t>
        </is>
      </c>
    </row>
    <row r="28">
      <c r="A28" s="3" t="inlineStr"/>
      <c r="B28" s="4" t="inlineStr"/>
    </row>
    <row r="29">
      <c r="A29" s="5" t="inlineStr">
        <is>
          <t>■ 예시 데이터</t>
        </is>
      </c>
      <c r="B29" s="4" t="inlineStr">
        <is>
          <t>지금 들어있는 숫자는 예시입니다. 거래입력·종목정보의 내용을 지우고</t>
        </is>
      </c>
    </row>
    <row r="30">
      <c r="A30" s="3" t="inlineStr"/>
      <c r="B30" s="4" t="inlineStr">
        <is>
          <t>형님 것으로 채우세요. 수식이 있는 칸은 지우지 마세요.</t>
        </is>
      </c>
    </row>
    <row r="31">
      <c r="A31" s="3" t="inlineStr"/>
      <c r="B31" s="4" t="inlineStr"/>
    </row>
    <row r="32">
      <c r="A32" s="5" t="inlineStr">
        <is>
          <t>■ 넣을 수 있는 양</t>
        </is>
      </c>
      <c r="B32" s="4" t="inlineStr">
        <is>
          <t>거래 250건 / 종목 60개. 모자라면 마지막 행을 복사해 아래로 늘리세요.</t>
        </is>
      </c>
    </row>
    <row r="34">
      <c r="A34" s="5" t="inlineStr">
        <is>
          <t>색깔 규칙</t>
        </is>
      </c>
    </row>
    <row r="35">
      <c r="A35" s="6" t="inlineStr">
        <is>
          <t>■■■</t>
        </is>
      </c>
      <c r="B35" s="3" t="inlineStr">
        <is>
          <t>직접 입력하는 칸</t>
        </is>
      </c>
    </row>
    <row r="36">
      <c r="A36" s="3" t="inlineStr">
        <is>
          <t>■■■</t>
        </is>
      </c>
      <c r="B36" s="3" t="inlineStr">
        <is>
          <t>수식 (건드리지 마세요)</t>
        </is>
      </c>
    </row>
    <row r="37">
      <c r="A37" s="7" t="inlineStr">
        <is>
          <t>■■■</t>
        </is>
      </c>
      <c r="B37" s="3" t="inlineStr">
        <is>
          <t>다른 시트에서 온 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16" customWidth="1" min="5" max="5"/>
    <col width="14" customWidth="1" min="6" max="6"/>
    <col width="34" customWidth="1" min="7" max="7"/>
  </cols>
  <sheetData>
    <row r="1">
      <c r="A1" s="1" t="inlineStr">
        <is>
          <t>종목정보</t>
        </is>
      </c>
    </row>
    <row r="2">
      <c r="A2" s="2" t="inlineStr">
        <is>
          <t>가진 종목을 등록하는 곳. 현재가는 앱에서 보고 옮겨 적으세요.</t>
        </is>
      </c>
    </row>
    <row r="3" ht="30" customHeight="1">
      <c r="A3" s="8" t="inlineStr">
        <is>
          <t>티커</t>
        </is>
      </c>
      <c r="B3" s="8" t="inlineStr">
        <is>
          <t>종목명</t>
        </is>
      </c>
      <c r="C3" s="8" t="inlineStr">
        <is>
          <t>국가</t>
        </is>
      </c>
      <c r="D3" s="8" t="inlineStr">
        <is>
          <t>통화</t>
        </is>
      </c>
      <c r="E3" s="8" t="inlineStr">
        <is>
          <t>섹터</t>
        </is>
      </c>
      <c r="F3" s="8" t="inlineStr">
        <is>
          <t>현재가(현지통화)</t>
        </is>
      </c>
      <c r="G3" s="8" t="inlineStr">
        <is>
          <t>메모</t>
        </is>
      </c>
    </row>
    <row r="4">
      <c r="A4" s="9" t="inlineStr">
        <is>
          <t>005930.KS</t>
        </is>
      </c>
      <c r="B4" s="9" t="inlineStr">
        <is>
          <t>삼성전자</t>
        </is>
      </c>
      <c r="C4" s="9" t="inlineStr">
        <is>
          <t>KR</t>
        </is>
      </c>
      <c r="D4" s="9" t="inlineStr">
        <is>
          <t>KRW</t>
        </is>
      </c>
      <c r="E4" s="9" t="inlineStr">
        <is>
          <t>반도체</t>
        </is>
      </c>
      <c r="F4" s="10" t="n">
        <v>85666</v>
      </c>
      <c r="G4" s="11" t="inlineStr">
        <is>
          <t>예시 - 지우고 형님 것을 넣으세요</t>
        </is>
      </c>
    </row>
    <row r="5">
      <c r="A5" s="9" t="inlineStr">
        <is>
          <t>373220.KS</t>
        </is>
      </c>
      <c r="B5" s="9" t="inlineStr">
        <is>
          <t>LG에너지솔루션</t>
        </is>
      </c>
      <c r="C5" s="9" t="inlineStr">
        <is>
          <t>KR</t>
        </is>
      </c>
      <c r="D5" s="9" t="inlineStr">
        <is>
          <t>KRW</t>
        </is>
      </c>
      <c r="E5" s="9" t="inlineStr">
        <is>
          <t>2차전지</t>
        </is>
      </c>
      <c r="F5" s="10" t="n">
        <v>372000</v>
      </c>
      <c r="G5" s="11" t="inlineStr">
        <is>
          <t>예시</t>
        </is>
      </c>
    </row>
    <row r="6">
      <c r="A6" s="9" t="inlineStr">
        <is>
          <t>AAPL</t>
        </is>
      </c>
      <c r="B6" s="9" t="inlineStr">
        <is>
          <t>애플</t>
        </is>
      </c>
      <c r="C6" s="9" t="inlineStr">
        <is>
          <t>US</t>
        </is>
      </c>
      <c r="D6" s="9" t="inlineStr">
        <is>
          <t>USD</t>
        </is>
      </c>
      <c r="E6" s="9" t="inlineStr">
        <is>
          <t>IT하드웨어</t>
        </is>
      </c>
      <c r="F6" s="10" t="n">
        <v>232.8</v>
      </c>
      <c r="G6" s="11" t="inlineStr">
        <is>
          <t>예시</t>
        </is>
      </c>
    </row>
    <row r="7">
      <c r="A7" s="9" t="inlineStr">
        <is>
          <t>AMZN</t>
        </is>
      </c>
      <c r="B7" s="9" t="inlineStr">
        <is>
          <t>아마존</t>
        </is>
      </c>
      <c r="C7" s="9" t="inlineStr">
        <is>
          <t>US</t>
        </is>
      </c>
      <c r="D7" s="9" t="inlineStr">
        <is>
          <t>USD</t>
        </is>
      </c>
      <c r="E7" s="9" t="inlineStr">
        <is>
          <t>소비재/클라우드</t>
        </is>
      </c>
      <c r="F7" s="10" t="n">
        <v>178.2</v>
      </c>
      <c r="G7" s="11" t="inlineStr">
        <is>
          <t>예시</t>
        </is>
      </c>
    </row>
    <row r="8">
      <c r="A8" s="9" t="inlineStr">
        <is>
          <t>TSLA</t>
        </is>
      </c>
      <c r="B8" s="9" t="inlineStr">
        <is>
          <t>테슬라</t>
        </is>
      </c>
      <c r="C8" s="9" t="inlineStr">
        <is>
          <t>US</t>
        </is>
      </c>
      <c r="D8" s="9" t="inlineStr">
        <is>
          <t>USD</t>
        </is>
      </c>
      <c r="E8" s="9" t="inlineStr">
        <is>
          <t>자동차</t>
        </is>
      </c>
      <c r="F8" s="10" t="n">
        <v>250.75</v>
      </c>
      <c r="G8" s="11" t="inlineStr">
        <is>
          <t>예시</t>
        </is>
      </c>
    </row>
    <row r="9">
      <c r="A9" s="9" t="inlineStr">
        <is>
          <t>VIC.VN</t>
        </is>
      </c>
      <c r="B9" s="9" t="inlineStr">
        <is>
          <t>빈그룹</t>
        </is>
      </c>
      <c r="C9" s="9" t="inlineStr">
        <is>
          <t>VN</t>
        </is>
      </c>
      <c r="D9" s="9" t="inlineStr">
        <is>
          <t>VND</t>
        </is>
      </c>
      <c r="E9" s="9" t="inlineStr">
        <is>
          <t>지주/부동산</t>
        </is>
      </c>
      <c r="F9" s="10" t="n">
        <v>41000</v>
      </c>
      <c r="G9" s="11" t="inlineStr">
        <is>
          <t>예시</t>
        </is>
      </c>
    </row>
    <row r="10">
      <c r="A10" s="9" t="n"/>
      <c r="B10" s="9" t="n"/>
      <c r="C10" s="9" t="n"/>
      <c r="D10" s="9" t="n"/>
      <c r="E10" s="9" t="n"/>
      <c r="F10" s="10" t="n"/>
      <c r="G10" s="11" t="n"/>
    </row>
    <row r="11">
      <c r="A11" s="9" t="n"/>
      <c r="B11" s="9" t="n"/>
      <c r="C11" s="9" t="n"/>
      <c r="D11" s="9" t="n"/>
      <c r="E11" s="9" t="n"/>
      <c r="F11" s="10" t="n"/>
      <c r="G11" s="11" t="n"/>
    </row>
    <row r="12">
      <c r="A12" s="9" t="n"/>
      <c r="B12" s="9" t="n"/>
      <c r="C12" s="9" t="n"/>
      <c r="D12" s="9" t="n"/>
      <c r="E12" s="9" t="n"/>
      <c r="F12" s="10" t="n"/>
      <c r="G12" s="11" t="n"/>
    </row>
    <row r="13">
      <c r="A13" s="9" t="n"/>
      <c r="B13" s="9" t="n"/>
      <c r="C13" s="9" t="n"/>
      <c r="D13" s="9" t="n"/>
      <c r="E13" s="9" t="n"/>
      <c r="F13" s="10" t="n"/>
      <c r="G13" s="11" t="n"/>
    </row>
    <row r="14">
      <c r="A14" s="9" t="n"/>
      <c r="B14" s="9" t="n"/>
      <c r="C14" s="9" t="n"/>
      <c r="D14" s="9" t="n"/>
      <c r="E14" s="9" t="n"/>
      <c r="F14" s="10" t="n"/>
      <c r="G14" s="11" t="n"/>
    </row>
    <row r="15">
      <c r="A15" s="9" t="n"/>
      <c r="B15" s="9" t="n"/>
      <c r="C15" s="9" t="n"/>
      <c r="D15" s="9" t="n"/>
      <c r="E15" s="9" t="n"/>
      <c r="F15" s="10" t="n"/>
      <c r="G15" s="11" t="n"/>
    </row>
    <row r="16">
      <c r="A16" s="9" t="n"/>
      <c r="B16" s="9" t="n"/>
      <c r="C16" s="9" t="n"/>
      <c r="D16" s="9" t="n"/>
      <c r="E16" s="9" t="n"/>
      <c r="F16" s="10" t="n"/>
      <c r="G16" s="11" t="n"/>
    </row>
    <row r="17">
      <c r="A17" s="9" t="n"/>
      <c r="B17" s="9" t="n"/>
      <c r="C17" s="9" t="n"/>
      <c r="D17" s="9" t="n"/>
      <c r="E17" s="9" t="n"/>
      <c r="F17" s="10" t="n"/>
      <c r="G17" s="11" t="n"/>
    </row>
    <row r="18">
      <c r="A18" s="9" t="n"/>
      <c r="B18" s="9" t="n"/>
      <c r="C18" s="9" t="n"/>
      <c r="D18" s="9" t="n"/>
      <c r="E18" s="9" t="n"/>
      <c r="F18" s="10" t="n"/>
      <c r="G18" s="11" t="n"/>
    </row>
    <row r="19">
      <c r="A19" s="9" t="n"/>
      <c r="B19" s="9" t="n"/>
      <c r="C19" s="9" t="n"/>
      <c r="D19" s="9" t="n"/>
      <c r="E19" s="9" t="n"/>
      <c r="F19" s="10" t="n"/>
      <c r="G19" s="11" t="n"/>
    </row>
    <row r="20">
      <c r="A20" s="9" t="n"/>
      <c r="B20" s="9" t="n"/>
      <c r="C20" s="9" t="n"/>
      <c r="D20" s="9" t="n"/>
      <c r="E20" s="9" t="n"/>
      <c r="F20" s="10" t="n"/>
      <c r="G20" s="11" t="n"/>
    </row>
    <row r="21">
      <c r="A21" s="9" t="n"/>
      <c r="B21" s="9" t="n"/>
      <c r="C21" s="9" t="n"/>
      <c r="D21" s="9" t="n"/>
      <c r="E21" s="9" t="n"/>
      <c r="F21" s="10" t="n"/>
      <c r="G21" s="11" t="n"/>
    </row>
    <row r="22">
      <c r="A22" s="9" t="n"/>
      <c r="B22" s="9" t="n"/>
      <c r="C22" s="9" t="n"/>
      <c r="D22" s="9" t="n"/>
      <c r="E22" s="9" t="n"/>
      <c r="F22" s="10" t="n"/>
      <c r="G22" s="11" t="n"/>
    </row>
    <row r="23">
      <c r="A23" s="9" t="n"/>
      <c r="B23" s="9" t="n"/>
      <c r="C23" s="9" t="n"/>
      <c r="D23" s="9" t="n"/>
      <c r="E23" s="9" t="n"/>
      <c r="F23" s="10" t="n"/>
      <c r="G23" s="11" t="n"/>
    </row>
    <row r="24">
      <c r="A24" s="9" t="n"/>
      <c r="B24" s="9" t="n"/>
      <c r="C24" s="9" t="n"/>
      <c r="D24" s="9" t="n"/>
      <c r="E24" s="9" t="n"/>
      <c r="F24" s="10" t="n"/>
      <c r="G24" s="11" t="n"/>
    </row>
    <row r="25">
      <c r="A25" s="9" t="n"/>
      <c r="B25" s="9" t="n"/>
      <c r="C25" s="9" t="n"/>
      <c r="D25" s="9" t="n"/>
      <c r="E25" s="9" t="n"/>
      <c r="F25" s="10" t="n"/>
      <c r="G25" s="11" t="n"/>
    </row>
    <row r="26">
      <c r="A26" s="9" t="n"/>
      <c r="B26" s="9" t="n"/>
      <c r="C26" s="9" t="n"/>
      <c r="D26" s="9" t="n"/>
      <c r="E26" s="9" t="n"/>
      <c r="F26" s="10" t="n"/>
      <c r="G26" s="11" t="n"/>
    </row>
    <row r="27">
      <c r="A27" s="9" t="n"/>
      <c r="B27" s="9" t="n"/>
      <c r="C27" s="9" t="n"/>
      <c r="D27" s="9" t="n"/>
      <c r="E27" s="9" t="n"/>
      <c r="F27" s="10" t="n"/>
      <c r="G27" s="11" t="n"/>
    </row>
    <row r="28">
      <c r="A28" s="9" t="n"/>
      <c r="B28" s="9" t="n"/>
      <c r="C28" s="9" t="n"/>
      <c r="D28" s="9" t="n"/>
      <c r="E28" s="9" t="n"/>
      <c r="F28" s="10" t="n"/>
      <c r="G28" s="11" t="n"/>
    </row>
    <row r="29">
      <c r="A29" s="9" t="n"/>
      <c r="B29" s="9" t="n"/>
      <c r="C29" s="9" t="n"/>
      <c r="D29" s="9" t="n"/>
      <c r="E29" s="9" t="n"/>
      <c r="F29" s="10" t="n"/>
      <c r="G29" s="11" t="n"/>
    </row>
    <row r="30">
      <c r="A30" s="9" t="n"/>
      <c r="B30" s="9" t="n"/>
      <c r="C30" s="9" t="n"/>
      <c r="D30" s="9" t="n"/>
      <c r="E30" s="9" t="n"/>
      <c r="F30" s="10" t="n"/>
      <c r="G30" s="11" t="n"/>
    </row>
    <row r="31">
      <c r="A31" s="9" t="n"/>
      <c r="B31" s="9" t="n"/>
      <c r="C31" s="9" t="n"/>
      <c r="D31" s="9" t="n"/>
      <c r="E31" s="9" t="n"/>
      <c r="F31" s="10" t="n"/>
      <c r="G31" s="11" t="n"/>
    </row>
    <row r="32">
      <c r="A32" s="9" t="n"/>
      <c r="B32" s="9" t="n"/>
      <c r="C32" s="9" t="n"/>
      <c r="D32" s="9" t="n"/>
      <c r="E32" s="9" t="n"/>
      <c r="F32" s="10" t="n"/>
      <c r="G32" s="11" t="n"/>
    </row>
    <row r="33">
      <c r="A33" s="9" t="n"/>
      <c r="B33" s="9" t="n"/>
      <c r="C33" s="9" t="n"/>
      <c r="D33" s="9" t="n"/>
      <c r="E33" s="9" t="n"/>
      <c r="F33" s="10" t="n"/>
      <c r="G33" s="11" t="n"/>
    </row>
    <row r="34">
      <c r="A34" s="9" t="n"/>
      <c r="B34" s="9" t="n"/>
      <c r="C34" s="9" t="n"/>
      <c r="D34" s="9" t="n"/>
      <c r="E34" s="9" t="n"/>
      <c r="F34" s="10" t="n"/>
      <c r="G34" s="11" t="n"/>
    </row>
    <row r="35">
      <c r="A35" s="9" t="n"/>
      <c r="B35" s="9" t="n"/>
      <c r="C35" s="9" t="n"/>
      <c r="D35" s="9" t="n"/>
      <c r="E35" s="9" t="n"/>
      <c r="F35" s="10" t="n"/>
      <c r="G35" s="11" t="n"/>
    </row>
    <row r="36">
      <c r="A36" s="9" t="n"/>
      <c r="B36" s="9" t="n"/>
      <c r="C36" s="9" t="n"/>
      <c r="D36" s="9" t="n"/>
      <c r="E36" s="9" t="n"/>
      <c r="F36" s="10" t="n"/>
      <c r="G36" s="11" t="n"/>
    </row>
    <row r="37">
      <c r="A37" s="9" t="n"/>
      <c r="B37" s="9" t="n"/>
      <c r="C37" s="9" t="n"/>
      <c r="D37" s="9" t="n"/>
      <c r="E37" s="9" t="n"/>
      <c r="F37" s="10" t="n"/>
      <c r="G37" s="11" t="n"/>
    </row>
    <row r="38">
      <c r="A38" s="9" t="n"/>
      <c r="B38" s="9" t="n"/>
      <c r="C38" s="9" t="n"/>
      <c r="D38" s="9" t="n"/>
      <c r="E38" s="9" t="n"/>
      <c r="F38" s="10" t="n"/>
      <c r="G38" s="11" t="n"/>
    </row>
    <row r="39">
      <c r="A39" s="9" t="n"/>
      <c r="B39" s="9" t="n"/>
      <c r="C39" s="9" t="n"/>
      <c r="D39" s="9" t="n"/>
      <c r="E39" s="9" t="n"/>
      <c r="F39" s="10" t="n"/>
      <c r="G39" s="11" t="n"/>
    </row>
    <row r="40">
      <c r="A40" s="9" t="n"/>
      <c r="B40" s="9" t="n"/>
      <c r="C40" s="9" t="n"/>
      <c r="D40" s="9" t="n"/>
      <c r="E40" s="9" t="n"/>
      <c r="F40" s="10" t="n"/>
      <c r="G40" s="11" t="n"/>
    </row>
    <row r="41">
      <c r="A41" s="9" t="n"/>
      <c r="B41" s="9" t="n"/>
      <c r="C41" s="9" t="n"/>
      <c r="D41" s="9" t="n"/>
      <c r="E41" s="9" t="n"/>
      <c r="F41" s="10" t="n"/>
      <c r="G41" s="11" t="n"/>
    </row>
    <row r="42">
      <c r="A42" s="9" t="n"/>
      <c r="B42" s="9" t="n"/>
      <c r="C42" s="9" t="n"/>
      <c r="D42" s="9" t="n"/>
      <c r="E42" s="9" t="n"/>
      <c r="F42" s="10" t="n"/>
      <c r="G42" s="11" t="n"/>
    </row>
    <row r="43">
      <c r="A43" s="9" t="n"/>
      <c r="B43" s="9" t="n"/>
      <c r="C43" s="9" t="n"/>
      <c r="D43" s="9" t="n"/>
      <c r="E43" s="9" t="n"/>
      <c r="F43" s="10" t="n"/>
      <c r="G43" s="11" t="n"/>
    </row>
    <row r="44">
      <c r="A44" s="9" t="n"/>
      <c r="B44" s="9" t="n"/>
      <c r="C44" s="9" t="n"/>
      <c r="D44" s="9" t="n"/>
      <c r="E44" s="9" t="n"/>
      <c r="F44" s="10" t="n"/>
      <c r="G44" s="11" t="n"/>
    </row>
    <row r="45">
      <c r="A45" s="9" t="n"/>
      <c r="B45" s="9" t="n"/>
      <c r="C45" s="9" t="n"/>
      <c r="D45" s="9" t="n"/>
      <c r="E45" s="9" t="n"/>
      <c r="F45" s="10" t="n"/>
      <c r="G45" s="11" t="n"/>
    </row>
    <row r="46">
      <c r="A46" s="9" t="n"/>
      <c r="B46" s="9" t="n"/>
      <c r="C46" s="9" t="n"/>
      <c r="D46" s="9" t="n"/>
      <c r="E46" s="9" t="n"/>
      <c r="F46" s="10" t="n"/>
      <c r="G46" s="11" t="n"/>
    </row>
    <row r="47">
      <c r="A47" s="9" t="n"/>
      <c r="B47" s="9" t="n"/>
      <c r="C47" s="9" t="n"/>
      <c r="D47" s="9" t="n"/>
      <c r="E47" s="9" t="n"/>
      <c r="F47" s="10" t="n"/>
      <c r="G47" s="11" t="n"/>
    </row>
    <row r="48">
      <c r="A48" s="9" t="n"/>
      <c r="B48" s="9" t="n"/>
      <c r="C48" s="9" t="n"/>
      <c r="D48" s="9" t="n"/>
      <c r="E48" s="9" t="n"/>
      <c r="F48" s="10" t="n"/>
      <c r="G48" s="11" t="n"/>
    </row>
    <row r="49">
      <c r="A49" s="9" t="n"/>
      <c r="B49" s="9" t="n"/>
      <c r="C49" s="9" t="n"/>
      <c r="D49" s="9" t="n"/>
      <c r="E49" s="9" t="n"/>
      <c r="F49" s="10" t="n"/>
      <c r="G49" s="11" t="n"/>
    </row>
    <row r="50">
      <c r="A50" s="9" t="n"/>
      <c r="B50" s="9" t="n"/>
      <c r="C50" s="9" t="n"/>
      <c r="D50" s="9" t="n"/>
      <c r="E50" s="9" t="n"/>
      <c r="F50" s="10" t="n"/>
      <c r="G50" s="11" t="n"/>
    </row>
    <row r="51">
      <c r="A51" s="9" t="n"/>
      <c r="B51" s="9" t="n"/>
      <c r="C51" s="9" t="n"/>
      <c r="D51" s="9" t="n"/>
      <c r="E51" s="9" t="n"/>
      <c r="F51" s="10" t="n"/>
      <c r="G51" s="11" t="n"/>
    </row>
    <row r="52">
      <c r="A52" s="9" t="n"/>
      <c r="B52" s="9" t="n"/>
      <c r="C52" s="9" t="n"/>
      <c r="D52" s="9" t="n"/>
      <c r="E52" s="9" t="n"/>
      <c r="F52" s="10" t="n"/>
      <c r="G52" s="11" t="n"/>
    </row>
    <row r="53">
      <c r="A53" s="9" t="n"/>
      <c r="B53" s="9" t="n"/>
      <c r="C53" s="9" t="n"/>
      <c r="D53" s="9" t="n"/>
      <c r="E53" s="9" t="n"/>
      <c r="F53" s="10" t="n"/>
      <c r="G53" s="11" t="n"/>
    </row>
    <row r="54">
      <c r="A54" s="9" t="n"/>
      <c r="B54" s="9" t="n"/>
      <c r="C54" s="9" t="n"/>
      <c r="D54" s="9" t="n"/>
      <c r="E54" s="9" t="n"/>
      <c r="F54" s="10" t="n"/>
      <c r="G54" s="11" t="n"/>
    </row>
    <row r="55">
      <c r="A55" s="9" t="n"/>
      <c r="B55" s="9" t="n"/>
      <c r="C55" s="9" t="n"/>
      <c r="D55" s="9" t="n"/>
      <c r="E55" s="9" t="n"/>
      <c r="F55" s="10" t="n"/>
      <c r="G55" s="11" t="n"/>
    </row>
    <row r="56">
      <c r="A56" s="9" t="n"/>
      <c r="B56" s="9" t="n"/>
      <c r="C56" s="9" t="n"/>
      <c r="D56" s="9" t="n"/>
      <c r="E56" s="9" t="n"/>
      <c r="F56" s="10" t="n"/>
      <c r="G56" s="11" t="n"/>
    </row>
    <row r="57">
      <c r="A57" s="9" t="n"/>
      <c r="B57" s="9" t="n"/>
      <c r="C57" s="9" t="n"/>
      <c r="D57" s="9" t="n"/>
      <c r="E57" s="9" t="n"/>
      <c r="F57" s="10" t="n"/>
      <c r="G57" s="11" t="n"/>
    </row>
    <row r="58">
      <c r="A58" s="9" t="n"/>
      <c r="B58" s="9" t="n"/>
      <c r="C58" s="9" t="n"/>
      <c r="D58" s="9" t="n"/>
      <c r="E58" s="9" t="n"/>
      <c r="F58" s="10" t="n"/>
      <c r="G58" s="11" t="n"/>
    </row>
    <row r="59">
      <c r="A59" s="9" t="n"/>
      <c r="B59" s="9" t="n"/>
      <c r="C59" s="9" t="n"/>
      <c r="D59" s="9" t="n"/>
      <c r="E59" s="9" t="n"/>
      <c r="F59" s="10" t="n"/>
      <c r="G59" s="11" t="n"/>
    </row>
    <row r="60">
      <c r="A60" s="9" t="n"/>
      <c r="B60" s="9" t="n"/>
      <c r="C60" s="9" t="n"/>
      <c r="D60" s="9" t="n"/>
      <c r="E60" s="9" t="n"/>
      <c r="F60" s="10" t="n"/>
      <c r="G60" s="11" t="n"/>
    </row>
    <row r="61">
      <c r="A61" s="9" t="n"/>
      <c r="B61" s="9" t="n"/>
      <c r="C61" s="9" t="n"/>
      <c r="D61" s="9" t="n"/>
      <c r="E61" s="9" t="n"/>
      <c r="F61" s="10" t="n"/>
      <c r="G61" s="11" t="n"/>
    </row>
    <row r="62">
      <c r="A62" s="9" t="n"/>
      <c r="B62" s="9" t="n"/>
      <c r="C62" s="9" t="n"/>
      <c r="D62" s="9" t="n"/>
      <c r="E62" s="9" t="n"/>
      <c r="F62" s="10" t="n"/>
      <c r="G62" s="11" t="n"/>
    </row>
    <row r="63">
      <c r="A63" s="9" t="n"/>
      <c r="B63" s="9" t="n"/>
      <c r="C63" s="9" t="n"/>
      <c r="D63" s="9" t="n"/>
      <c r="E63" s="9" t="n"/>
      <c r="F63" s="10" t="n"/>
      <c r="G63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8" customWidth="1" min="4" max="4"/>
    <col width="12" customWidth="1" min="5" max="5"/>
    <col width="12" customWidth="1" min="6" max="6"/>
    <col width="10" customWidth="1" min="7" max="7"/>
    <col width="10" customWidth="1" min="8" max="8"/>
    <col width="16" customWidth="1" min="9" max="9"/>
    <col width="3" customWidth="1" min="10" max="10"/>
    <col width="11" customWidth="1" min="11" max="11"/>
    <col width="11" customWidth="1" min="12" max="12"/>
    <col width="13" customWidth="1" min="13" max="13"/>
    <col width="13" customWidth="1" min="14" max="14"/>
    <col width="12" customWidth="1" min="15" max="15"/>
    <col width="13" customWidth="1" min="16" max="16"/>
  </cols>
  <sheetData>
    <row r="1">
      <c r="A1" s="1" t="inlineStr">
        <is>
          <t>거래입력</t>
        </is>
      </c>
    </row>
    <row r="2">
      <c r="A2" s="2" t="inlineStr">
        <is>
          <t>산 날·판 날을 한 줄씩. ★ 반드시 날짜 순으로 적으세요 — 평단이 순서대로 굴러가기 때문입니다.</t>
        </is>
      </c>
      <c r="K2" s="2" t="inlineStr">
        <is>
          <t>↓ 여기부터는 자동 계산 (건드리지 마세요)</t>
        </is>
      </c>
    </row>
    <row r="3" ht="30" customHeight="1">
      <c r="A3" s="8" t="inlineStr">
        <is>
          <t>일자</t>
        </is>
      </c>
      <c r="B3" s="8" t="inlineStr">
        <is>
          <t>종목명</t>
        </is>
      </c>
      <c r="C3" s="8" t="inlineStr">
        <is>
          <t>티커</t>
        </is>
      </c>
      <c r="D3" s="8" t="inlineStr">
        <is>
          <t>구분</t>
        </is>
      </c>
      <c r="E3" s="8" t="inlineStr">
        <is>
          <t>수량</t>
        </is>
      </c>
      <c r="F3" s="8" t="inlineStr">
        <is>
          <t>단가</t>
        </is>
      </c>
      <c r="G3" s="8" t="inlineStr">
        <is>
          <t>수수료</t>
        </is>
      </c>
      <c r="H3" s="8" t="inlineStr">
        <is>
          <t>계좌</t>
        </is>
      </c>
      <c r="I3" s="8" t="inlineStr">
        <is>
          <t>메모</t>
        </is>
      </c>
      <c r="K3" s="12" t="inlineStr">
        <is>
          <t>이전수량</t>
        </is>
      </c>
      <c r="L3" s="12" t="inlineStr">
        <is>
          <t>누적수량</t>
        </is>
      </c>
      <c r="M3" s="12" t="inlineStr">
        <is>
          <t>이전원가(현지)</t>
        </is>
      </c>
      <c r="N3" s="12" t="inlineStr">
        <is>
          <t>누적원가(현지)</t>
        </is>
      </c>
      <c r="O3" s="12" t="inlineStr">
        <is>
          <t>평단(현지)</t>
        </is>
      </c>
      <c r="P3" s="12" t="inlineStr">
        <is>
          <t>실현손익(현지)</t>
        </is>
      </c>
    </row>
    <row r="4">
      <c r="A4" s="13" t="inlineStr">
        <is>
          <t>2024-03-04</t>
        </is>
      </c>
      <c r="B4" s="9" t="inlineStr">
        <is>
          <t>삼성전자</t>
        </is>
      </c>
      <c r="C4" s="9" t="inlineStr">
        <is>
          <t>005930.KS</t>
        </is>
      </c>
      <c r="D4" s="9" t="inlineStr">
        <is>
          <t>매수</t>
        </is>
      </c>
      <c r="E4" s="10" t="n">
        <v>50</v>
      </c>
      <c r="F4" s="10" t="n">
        <v>72500</v>
      </c>
      <c r="G4" s="10" t="n">
        <v>1090</v>
      </c>
      <c r="H4" s="9" t="inlineStr">
        <is>
          <t>연금저축</t>
        </is>
      </c>
      <c r="I4" s="9" t="n"/>
      <c r="K4" s="14">
        <f>IF($C4="","",0)</f>
        <v/>
      </c>
      <c r="L4" s="14">
        <f>IF($C4="","",IF($D4="매수",$K4+$E4,MAX(0,$K4-$E4)))</f>
        <v/>
      </c>
      <c r="M4" s="15">
        <f>IF($C4="","",0)</f>
        <v/>
      </c>
      <c r="N4" s="15">
        <f>IF($C4="","",IF($D4="매수",$M4+$E4*$F4+$G4,$M4-IF($K4=0,0,$M4/$K4)*MIN($E4,$K4)))</f>
        <v/>
      </c>
      <c r="O4" s="14">
        <f>IF($C4="","",IF($L4=0,0,$N4/$L4))</f>
        <v/>
      </c>
      <c r="P4" s="15">
        <f>IF($C4="","",IF($D4="매수",0,MIN($E4,$K4)*$F4-IF($K4=0,0,$M4/$K4)*MIN($E4,$K4)-$G4))</f>
        <v/>
      </c>
    </row>
    <row r="5">
      <c r="A5" s="13" t="inlineStr">
        <is>
          <t>2024-05-20</t>
        </is>
      </c>
      <c r="B5" s="9" t="inlineStr">
        <is>
          <t>애플</t>
        </is>
      </c>
      <c r="C5" s="9" t="inlineStr">
        <is>
          <t>AAPL</t>
        </is>
      </c>
      <c r="D5" s="9" t="inlineStr">
        <is>
          <t>매수</t>
        </is>
      </c>
      <c r="E5" s="10" t="n">
        <v>20</v>
      </c>
      <c r="F5" s="10" t="n">
        <v>189.5</v>
      </c>
      <c r="G5" s="10" t="n">
        <v>0.95</v>
      </c>
      <c r="H5" s="9" t="inlineStr">
        <is>
          <t>해외주식</t>
        </is>
      </c>
      <c r="I5" s="9" t="n"/>
      <c r="K5" s="14">
        <f>IF($C5="","",IFERROR(LOOKUP(2,1/($C$4:$C4=$C5),$L$4:$L4),0))</f>
        <v/>
      </c>
      <c r="L5" s="14">
        <f>IF($C5="","",IF($D5="매수",$K5+$E5,MAX(0,$K5-$E5)))</f>
        <v/>
      </c>
      <c r="M5" s="15">
        <f>IF($C5="","",IFERROR(LOOKUP(2,1/($C$4:$C4=$C5),$N$4:$N4),0))</f>
        <v/>
      </c>
      <c r="N5" s="15">
        <f>IF($C5="","",IF($D5="매수",$M5+$E5*$F5+$G5,$M5-IF($K5=0,0,$M5/$K5)*MIN($E5,$K5)))</f>
        <v/>
      </c>
      <c r="O5" s="14">
        <f>IF($C5="","",IF($L5=0,0,$N5/$L5))</f>
        <v/>
      </c>
      <c r="P5" s="15">
        <f>IF($C5="","",IF($D5="매수",0,MIN($E5,$K5)*$F5-IF($K5=0,0,$M5/$K5)*MIN($E5,$K5)-$G5))</f>
        <v/>
      </c>
    </row>
    <row r="6">
      <c r="A6" s="13" t="inlineStr">
        <is>
          <t>2024-06-11</t>
        </is>
      </c>
      <c r="B6" s="9" t="inlineStr">
        <is>
          <t>아마존</t>
        </is>
      </c>
      <c r="C6" s="9" t="inlineStr">
        <is>
          <t>AMZN</t>
        </is>
      </c>
      <c r="D6" s="9" t="inlineStr">
        <is>
          <t>매수</t>
        </is>
      </c>
      <c r="E6" s="10" t="n">
        <v>10</v>
      </c>
      <c r="F6" s="10" t="n">
        <v>183.2</v>
      </c>
      <c r="G6" s="10" t="n">
        <v>0.92</v>
      </c>
      <c r="H6" s="9" t="inlineStr">
        <is>
          <t>해외주식</t>
        </is>
      </c>
      <c r="I6" s="9" t="n"/>
      <c r="K6" s="14">
        <f>IF($C6="","",IFERROR(LOOKUP(2,1/($C$4:$C5=$C6),$L$4:$L5),0))</f>
        <v/>
      </c>
      <c r="L6" s="14">
        <f>IF($C6="","",IF($D6="매수",$K6+$E6,MAX(0,$K6-$E6)))</f>
        <v/>
      </c>
      <c r="M6" s="15">
        <f>IF($C6="","",IFERROR(LOOKUP(2,1/($C$4:$C5=$C6),$N$4:$N5),0))</f>
        <v/>
      </c>
      <c r="N6" s="15">
        <f>IF($C6="","",IF($D6="매수",$M6+$E6*$F6+$G6,$M6-IF($K6=0,0,$M6/$K6)*MIN($E6,$K6)))</f>
        <v/>
      </c>
      <c r="O6" s="14">
        <f>IF($C6="","",IF($L6=0,0,$N6/$L6))</f>
        <v/>
      </c>
      <c r="P6" s="15">
        <f>IF($C6="","",IF($D6="매수",0,MIN($E6,$K6)*$F6-IF($K6=0,0,$M6/$K6)*MIN($E6,$K6)-$G6))</f>
        <v/>
      </c>
    </row>
    <row r="7">
      <c r="A7" s="13" t="inlineStr">
        <is>
          <t>2024-07-02</t>
        </is>
      </c>
      <c r="B7" s="9" t="inlineStr">
        <is>
          <t>테슬라</t>
        </is>
      </c>
      <c r="C7" s="9" t="inlineStr">
        <is>
          <t>TSLA</t>
        </is>
      </c>
      <c r="D7" s="9" t="inlineStr">
        <is>
          <t>매수</t>
        </is>
      </c>
      <c r="E7" s="10" t="n">
        <v>12</v>
      </c>
      <c r="F7" s="10" t="n">
        <v>210.4</v>
      </c>
      <c r="G7" s="10" t="n">
        <v>1.05</v>
      </c>
      <c r="H7" s="9" t="inlineStr">
        <is>
          <t>해외주식</t>
        </is>
      </c>
      <c r="I7" s="9" t="n"/>
      <c r="K7" s="14">
        <f>IF($C7="","",IFERROR(LOOKUP(2,1/($C$4:$C6=$C7),$L$4:$L6),0))</f>
        <v/>
      </c>
      <c r="L7" s="14">
        <f>IF($C7="","",IF($D7="매수",$K7+$E7,MAX(0,$K7-$E7)))</f>
        <v/>
      </c>
      <c r="M7" s="15">
        <f>IF($C7="","",IFERROR(LOOKUP(2,1/($C$4:$C6=$C7),$N$4:$N6),0))</f>
        <v/>
      </c>
      <c r="N7" s="15">
        <f>IF($C7="","",IF($D7="매수",$M7+$E7*$F7+$G7,$M7-IF($K7=0,0,$M7/$K7)*MIN($E7,$K7)))</f>
        <v/>
      </c>
      <c r="O7" s="14">
        <f>IF($C7="","",IF($L7=0,0,$N7/$L7))</f>
        <v/>
      </c>
      <c r="P7" s="15">
        <f>IF($C7="","",IF($D7="매수",0,MIN($E7,$K7)*$F7-IF($K7=0,0,$M7/$K7)*MIN($E7,$K7)-$G7))</f>
        <v/>
      </c>
    </row>
    <row r="8">
      <c r="A8" s="13" t="inlineStr">
        <is>
          <t>2024-09-13</t>
        </is>
      </c>
      <c r="B8" s="9" t="inlineStr">
        <is>
          <t>LG에너지솔루션</t>
        </is>
      </c>
      <c r="C8" s="9" t="inlineStr">
        <is>
          <t>373220.KS</t>
        </is>
      </c>
      <c r="D8" s="9" t="inlineStr">
        <is>
          <t>매수</t>
        </is>
      </c>
      <c r="E8" s="10" t="n">
        <v>3</v>
      </c>
      <c r="F8" s="10" t="n">
        <v>401000</v>
      </c>
      <c r="G8" s="10" t="n">
        <v>1800</v>
      </c>
      <c r="H8" s="9" t="inlineStr">
        <is>
          <t>연금저축</t>
        </is>
      </c>
      <c r="I8" s="9" t="n"/>
      <c r="K8" s="14">
        <f>IF($C8="","",IFERROR(LOOKUP(2,1/($C$4:$C7=$C8),$L$4:$L7),0))</f>
        <v/>
      </c>
      <c r="L8" s="14">
        <f>IF($C8="","",IF($D8="매수",$K8+$E8,MAX(0,$K8-$E8)))</f>
        <v/>
      </c>
      <c r="M8" s="15">
        <f>IF($C8="","",IFERROR(LOOKUP(2,1/($C$4:$C7=$C8),$N$4:$N7),0))</f>
        <v/>
      </c>
      <c r="N8" s="15">
        <f>IF($C8="","",IF($D8="매수",$M8+$E8*$F8+$G8,$M8-IF($K8=0,0,$M8/$K8)*MIN($E8,$K8)))</f>
        <v/>
      </c>
      <c r="O8" s="14">
        <f>IF($C8="","",IF($L8=0,0,$N8/$L8))</f>
        <v/>
      </c>
      <c r="P8" s="15">
        <f>IF($C8="","",IF($D8="매수",0,MIN($E8,$K8)*$F8-IF($K8=0,0,$M8/$K8)*MIN($E8,$K8)-$G8))</f>
        <v/>
      </c>
    </row>
    <row r="9">
      <c r="A9" s="13" t="inlineStr">
        <is>
          <t>2024-11-08</t>
        </is>
      </c>
      <c r="B9" s="9" t="inlineStr">
        <is>
          <t>빈그룹</t>
        </is>
      </c>
      <c r="C9" s="9" t="inlineStr">
        <is>
          <t>VIC.VN</t>
        </is>
      </c>
      <c r="D9" s="9" t="inlineStr">
        <is>
          <t>매수</t>
        </is>
      </c>
      <c r="E9" s="10" t="n">
        <v>500</v>
      </c>
      <c r="F9" s="10" t="n">
        <v>43200</v>
      </c>
      <c r="G9" s="10" t="n">
        <v>108</v>
      </c>
      <c r="H9" s="9" t="inlineStr">
        <is>
          <t>해외주식</t>
        </is>
      </c>
      <c r="I9" s="9" t="n"/>
      <c r="K9" s="14">
        <f>IF($C9="","",IFERROR(LOOKUP(2,1/($C$4:$C8=$C9),$L$4:$L8),0))</f>
        <v/>
      </c>
      <c r="L9" s="14">
        <f>IF($C9="","",IF($D9="매수",$K9+$E9,MAX(0,$K9-$E9)))</f>
        <v/>
      </c>
      <c r="M9" s="15">
        <f>IF($C9="","",IFERROR(LOOKUP(2,1/($C$4:$C8=$C9),$N$4:$N8),0))</f>
        <v/>
      </c>
      <c r="N9" s="15">
        <f>IF($C9="","",IF($D9="매수",$M9+$E9*$F9+$G9,$M9-IF($K9=0,0,$M9/$K9)*MIN($E9,$K9)))</f>
        <v/>
      </c>
      <c r="O9" s="14">
        <f>IF($C9="","",IF($L9=0,0,$N9/$L9))</f>
        <v/>
      </c>
      <c r="P9" s="15">
        <f>IF($C9="","",IF($D9="매수",0,MIN($E9,$K9)*$F9-IF($K9=0,0,$M9/$K9)*MIN($E9,$K9)-$G9))</f>
        <v/>
      </c>
    </row>
    <row r="10">
      <c r="A10" s="13" t="inlineStr">
        <is>
          <t>2025-01-15</t>
        </is>
      </c>
      <c r="B10" s="9" t="inlineStr">
        <is>
          <t>삼성전자</t>
        </is>
      </c>
      <c r="C10" s="9" t="inlineStr">
        <is>
          <t>005930.KS</t>
        </is>
      </c>
      <c r="D10" s="9" t="inlineStr">
        <is>
          <t>매수</t>
        </is>
      </c>
      <c r="E10" s="10" t="n">
        <v>30</v>
      </c>
      <c r="F10" s="10" t="n">
        <v>55900</v>
      </c>
      <c r="G10" s="10" t="n">
        <v>840</v>
      </c>
      <c r="H10" s="9" t="inlineStr">
        <is>
          <t>연금저축</t>
        </is>
      </c>
      <c r="I10" s="9" t="inlineStr">
        <is>
          <t>추가매수</t>
        </is>
      </c>
      <c r="K10" s="14">
        <f>IF($C10="","",IFERROR(LOOKUP(2,1/($C$4:$C9=$C10),$L$4:$L9),0))</f>
        <v/>
      </c>
      <c r="L10" s="14">
        <f>IF($C10="","",IF($D10="매수",$K10+$E10,MAX(0,$K10-$E10)))</f>
        <v/>
      </c>
      <c r="M10" s="15">
        <f>IF($C10="","",IFERROR(LOOKUP(2,1/($C$4:$C9=$C10),$N$4:$N9),0))</f>
        <v/>
      </c>
      <c r="N10" s="15">
        <f>IF($C10="","",IF($D10="매수",$M10+$E10*$F10+$G10,$M10-IF($K10=0,0,$M10/$K10)*MIN($E10,$K10)))</f>
        <v/>
      </c>
      <c r="O10" s="14">
        <f>IF($C10="","",IF($L10=0,0,$N10/$L10))</f>
        <v/>
      </c>
      <c r="P10" s="15">
        <f>IF($C10="","",IF($D10="매수",0,MIN($E10,$K10)*$F10-IF($K10=0,0,$M10/$K10)*MIN($E10,$K10)-$G10))</f>
        <v/>
      </c>
    </row>
    <row r="11">
      <c r="A11" s="13" t="inlineStr">
        <is>
          <t>2025-04-22</t>
        </is>
      </c>
      <c r="B11" s="9" t="inlineStr">
        <is>
          <t>테슬라</t>
        </is>
      </c>
      <c r="C11" s="9" t="inlineStr">
        <is>
          <t>TSLA</t>
        </is>
      </c>
      <c r="D11" s="9" t="inlineStr">
        <is>
          <t>매도</t>
        </is>
      </c>
      <c r="E11" s="10" t="n">
        <v>5</v>
      </c>
      <c r="F11" s="10" t="n">
        <v>268</v>
      </c>
      <c r="G11" s="10" t="n">
        <v>1.34</v>
      </c>
      <c r="H11" s="9" t="inlineStr">
        <is>
          <t>해외주식</t>
        </is>
      </c>
      <c r="I11" s="9" t="inlineStr">
        <is>
          <t>일부 익절</t>
        </is>
      </c>
      <c r="K11" s="14">
        <f>IF($C11="","",IFERROR(LOOKUP(2,1/($C$4:$C10=$C11),$L$4:$L10),0))</f>
        <v/>
      </c>
      <c r="L11" s="14">
        <f>IF($C11="","",IF($D11="매수",$K11+$E11,MAX(0,$K11-$E11)))</f>
        <v/>
      </c>
      <c r="M11" s="15">
        <f>IF($C11="","",IFERROR(LOOKUP(2,1/($C$4:$C10=$C11),$N$4:$N10),0))</f>
        <v/>
      </c>
      <c r="N11" s="15">
        <f>IF($C11="","",IF($D11="매수",$M11+$E11*$F11+$G11,$M11-IF($K11=0,0,$M11/$K11)*MIN($E11,$K11)))</f>
        <v/>
      </c>
      <c r="O11" s="14">
        <f>IF($C11="","",IF($L11=0,0,$N11/$L11))</f>
        <v/>
      </c>
      <c r="P11" s="15">
        <f>IF($C11="","",IF($D11="매수",0,MIN($E11,$K11)*$F11-IF($K11=0,0,$M11/$K11)*MIN($E11,$K11)-$G11))</f>
        <v/>
      </c>
    </row>
    <row r="12">
      <c r="A12" s="13" t="n"/>
      <c r="B12" s="9" t="n"/>
      <c r="C12" s="9" t="n"/>
      <c r="D12" s="9" t="n"/>
      <c r="E12" s="10" t="n"/>
      <c r="F12" s="10" t="n"/>
      <c r="G12" s="10" t="n"/>
      <c r="H12" s="9" t="n"/>
      <c r="I12" s="9" t="n"/>
      <c r="K12" s="14">
        <f>IF($C12="","",IFERROR(LOOKUP(2,1/($C$4:$C11=$C12),$L$4:$L11),0))</f>
        <v/>
      </c>
      <c r="L12" s="14">
        <f>IF($C12="","",IF($D12="매수",$K12+$E12,MAX(0,$K12-$E12)))</f>
        <v/>
      </c>
      <c r="M12" s="15">
        <f>IF($C12="","",IFERROR(LOOKUP(2,1/($C$4:$C11=$C12),$N$4:$N11),0))</f>
        <v/>
      </c>
      <c r="N12" s="15">
        <f>IF($C12="","",IF($D12="매수",$M12+$E12*$F12+$G12,$M12-IF($K12=0,0,$M12/$K12)*MIN($E12,$K12)))</f>
        <v/>
      </c>
      <c r="O12" s="14">
        <f>IF($C12="","",IF($L12=0,0,$N12/$L12))</f>
        <v/>
      </c>
      <c r="P12" s="15">
        <f>IF($C12="","",IF($D12="매수",0,MIN($E12,$K12)*$F12-IF($K12=0,0,$M12/$K12)*MIN($E12,$K12)-$G12))</f>
        <v/>
      </c>
    </row>
    <row r="13">
      <c r="A13" s="13" t="n"/>
      <c r="B13" s="9" t="n"/>
      <c r="C13" s="9" t="n"/>
      <c r="D13" s="9" t="n"/>
      <c r="E13" s="10" t="n"/>
      <c r="F13" s="10" t="n"/>
      <c r="G13" s="10" t="n"/>
      <c r="H13" s="9" t="n"/>
      <c r="I13" s="9" t="n"/>
      <c r="K13" s="14">
        <f>IF($C13="","",IFERROR(LOOKUP(2,1/($C$4:$C12=$C13),$L$4:$L12),0))</f>
        <v/>
      </c>
      <c r="L13" s="14">
        <f>IF($C13="","",IF($D13="매수",$K13+$E13,MAX(0,$K13-$E13)))</f>
        <v/>
      </c>
      <c r="M13" s="15">
        <f>IF($C13="","",IFERROR(LOOKUP(2,1/($C$4:$C12=$C13),$N$4:$N12),0))</f>
        <v/>
      </c>
      <c r="N13" s="15">
        <f>IF($C13="","",IF($D13="매수",$M13+$E13*$F13+$G13,$M13-IF($K13=0,0,$M13/$K13)*MIN($E13,$K13)))</f>
        <v/>
      </c>
      <c r="O13" s="14">
        <f>IF($C13="","",IF($L13=0,0,$N13/$L13))</f>
        <v/>
      </c>
      <c r="P13" s="15">
        <f>IF($C13="","",IF($D13="매수",0,MIN($E13,$K13)*$F13-IF($K13=0,0,$M13/$K13)*MIN($E13,$K13)-$G13))</f>
        <v/>
      </c>
    </row>
    <row r="14">
      <c r="A14" s="13" t="n"/>
      <c r="B14" s="9" t="n"/>
      <c r="C14" s="9" t="n"/>
      <c r="D14" s="9" t="n"/>
      <c r="E14" s="10" t="n"/>
      <c r="F14" s="10" t="n"/>
      <c r="G14" s="10" t="n"/>
      <c r="H14" s="9" t="n"/>
      <c r="I14" s="9" t="n"/>
      <c r="K14" s="14">
        <f>IF($C14="","",IFERROR(LOOKUP(2,1/($C$4:$C13=$C14),$L$4:$L13),0))</f>
        <v/>
      </c>
      <c r="L14" s="14">
        <f>IF($C14="","",IF($D14="매수",$K14+$E14,MAX(0,$K14-$E14)))</f>
        <v/>
      </c>
      <c r="M14" s="15">
        <f>IF($C14="","",IFERROR(LOOKUP(2,1/($C$4:$C13=$C14),$N$4:$N13),0))</f>
        <v/>
      </c>
      <c r="N14" s="15">
        <f>IF($C14="","",IF($D14="매수",$M14+$E14*$F14+$G14,$M14-IF($K14=0,0,$M14/$K14)*MIN($E14,$K14)))</f>
        <v/>
      </c>
      <c r="O14" s="14">
        <f>IF($C14="","",IF($L14=0,0,$N14/$L14))</f>
        <v/>
      </c>
      <c r="P14" s="15">
        <f>IF($C14="","",IF($D14="매수",0,MIN($E14,$K14)*$F14-IF($K14=0,0,$M14/$K14)*MIN($E14,$K14)-$G14))</f>
        <v/>
      </c>
    </row>
    <row r="15">
      <c r="A15" s="13" t="n"/>
      <c r="B15" s="9" t="n"/>
      <c r="C15" s="9" t="n"/>
      <c r="D15" s="9" t="n"/>
      <c r="E15" s="10" t="n"/>
      <c r="F15" s="10" t="n"/>
      <c r="G15" s="10" t="n"/>
      <c r="H15" s="9" t="n"/>
      <c r="I15" s="9" t="n"/>
      <c r="K15" s="14">
        <f>IF($C15="","",IFERROR(LOOKUP(2,1/($C$4:$C14=$C15),$L$4:$L14),0))</f>
        <v/>
      </c>
      <c r="L15" s="14">
        <f>IF($C15="","",IF($D15="매수",$K15+$E15,MAX(0,$K15-$E15)))</f>
        <v/>
      </c>
      <c r="M15" s="15">
        <f>IF($C15="","",IFERROR(LOOKUP(2,1/($C$4:$C14=$C15),$N$4:$N14),0))</f>
        <v/>
      </c>
      <c r="N15" s="15">
        <f>IF($C15="","",IF($D15="매수",$M15+$E15*$F15+$G15,$M15-IF($K15=0,0,$M15/$K15)*MIN($E15,$K15)))</f>
        <v/>
      </c>
      <c r="O15" s="14">
        <f>IF($C15="","",IF($L15=0,0,$N15/$L15))</f>
        <v/>
      </c>
      <c r="P15" s="15">
        <f>IF($C15="","",IF($D15="매수",0,MIN($E15,$K15)*$F15-IF($K15=0,0,$M15/$K15)*MIN($E15,$K15)-$G15))</f>
        <v/>
      </c>
    </row>
    <row r="16">
      <c r="A16" s="13" t="n"/>
      <c r="B16" s="9" t="n"/>
      <c r="C16" s="9" t="n"/>
      <c r="D16" s="9" t="n"/>
      <c r="E16" s="10" t="n"/>
      <c r="F16" s="10" t="n"/>
      <c r="G16" s="10" t="n"/>
      <c r="H16" s="9" t="n"/>
      <c r="I16" s="9" t="n"/>
      <c r="K16" s="14">
        <f>IF($C16="","",IFERROR(LOOKUP(2,1/($C$4:$C15=$C16),$L$4:$L15),0))</f>
        <v/>
      </c>
      <c r="L16" s="14">
        <f>IF($C16="","",IF($D16="매수",$K16+$E16,MAX(0,$K16-$E16)))</f>
        <v/>
      </c>
      <c r="M16" s="15">
        <f>IF($C16="","",IFERROR(LOOKUP(2,1/($C$4:$C15=$C16),$N$4:$N15),0))</f>
        <v/>
      </c>
      <c r="N16" s="15">
        <f>IF($C16="","",IF($D16="매수",$M16+$E16*$F16+$G16,$M16-IF($K16=0,0,$M16/$K16)*MIN($E16,$K16)))</f>
        <v/>
      </c>
      <c r="O16" s="14">
        <f>IF($C16="","",IF($L16=0,0,$N16/$L16))</f>
        <v/>
      </c>
      <c r="P16" s="15">
        <f>IF($C16="","",IF($D16="매수",0,MIN($E16,$K16)*$F16-IF($K16=0,0,$M16/$K16)*MIN($E16,$K16)-$G16))</f>
        <v/>
      </c>
    </row>
    <row r="17">
      <c r="A17" s="13" t="n"/>
      <c r="B17" s="9" t="n"/>
      <c r="C17" s="9" t="n"/>
      <c r="D17" s="9" t="n"/>
      <c r="E17" s="10" t="n"/>
      <c r="F17" s="10" t="n"/>
      <c r="G17" s="10" t="n"/>
      <c r="H17" s="9" t="n"/>
      <c r="I17" s="9" t="n"/>
      <c r="K17" s="14">
        <f>IF($C17="","",IFERROR(LOOKUP(2,1/($C$4:$C16=$C17),$L$4:$L16),0))</f>
        <v/>
      </c>
      <c r="L17" s="14">
        <f>IF($C17="","",IF($D17="매수",$K17+$E17,MAX(0,$K17-$E17)))</f>
        <v/>
      </c>
      <c r="M17" s="15">
        <f>IF($C17="","",IFERROR(LOOKUP(2,1/($C$4:$C16=$C17),$N$4:$N16),0))</f>
        <v/>
      </c>
      <c r="N17" s="15">
        <f>IF($C17="","",IF($D17="매수",$M17+$E17*$F17+$G17,$M17-IF($K17=0,0,$M17/$K17)*MIN($E17,$K17)))</f>
        <v/>
      </c>
      <c r="O17" s="14">
        <f>IF($C17="","",IF($L17=0,0,$N17/$L17))</f>
        <v/>
      </c>
      <c r="P17" s="15">
        <f>IF($C17="","",IF($D17="매수",0,MIN($E17,$K17)*$F17-IF($K17=0,0,$M17/$K17)*MIN($E17,$K17)-$G17))</f>
        <v/>
      </c>
    </row>
    <row r="18">
      <c r="A18" s="13" t="n"/>
      <c r="B18" s="9" t="n"/>
      <c r="C18" s="9" t="n"/>
      <c r="D18" s="9" t="n"/>
      <c r="E18" s="10" t="n"/>
      <c r="F18" s="10" t="n"/>
      <c r="G18" s="10" t="n"/>
      <c r="H18" s="9" t="n"/>
      <c r="I18" s="9" t="n"/>
      <c r="K18" s="14">
        <f>IF($C18="","",IFERROR(LOOKUP(2,1/($C$4:$C17=$C18),$L$4:$L17),0))</f>
        <v/>
      </c>
      <c r="L18" s="14">
        <f>IF($C18="","",IF($D18="매수",$K18+$E18,MAX(0,$K18-$E18)))</f>
        <v/>
      </c>
      <c r="M18" s="15">
        <f>IF($C18="","",IFERROR(LOOKUP(2,1/($C$4:$C17=$C18),$N$4:$N17),0))</f>
        <v/>
      </c>
      <c r="N18" s="15">
        <f>IF($C18="","",IF($D18="매수",$M18+$E18*$F18+$G18,$M18-IF($K18=0,0,$M18/$K18)*MIN($E18,$K18)))</f>
        <v/>
      </c>
      <c r="O18" s="14">
        <f>IF($C18="","",IF($L18=0,0,$N18/$L18))</f>
        <v/>
      </c>
      <c r="P18" s="15">
        <f>IF($C18="","",IF($D18="매수",0,MIN($E18,$K18)*$F18-IF($K18=0,0,$M18/$K18)*MIN($E18,$K18)-$G18))</f>
        <v/>
      </c>
    </row>
    <row r="19">
      <c r="A19" s="13" t="n"/>
      <c r="B19" s="9" t="n"/>
      <c r="C19" s="9" t="n"/>
      <c r="D19" s="9" t="n"/>
      <c r="E19" s="10" t="n"/>
      <c r="F19" s="10" t="n"/>
      <c r="G19" s="10" t="n"/>
      <c r="H19" s="9" t="n"/>
      <c r="I19" s="9" t="n"/>
      <c r="K19" s="14">
        <f>IF($C19="","",IFERROR(LOOKUP(2,1/($C$4:$C18=$C19),$L$4:$L18),0))</f>
        <v/>
      </c>
      <c r="L19" s="14">
        <f>IF($C19="","",IF($D19="매수",$K19+$E19,MAX(0,$K19-$E19)))</f>
        <v/>
      </c>
      <c r="M19" s="15">
        <f>IF($C19="","",IFERROR(LOOKUP(2,1/($C$4:$C18=$C19),$N$4:$N18),0))</f>
        <v/>
      </c>
      <c r="N19" s="15">
        <f>IF($C19="","",IF($D19="매수",$M19+$E19*$F19+$G19,$M19-IF($K19=0,0,$M19/$K19)*MIN($E19,$K19)))</f>
        <v/>
      </c>
      <c r="O19" s="14">
        <f>IF($C19="","",IF($L19=0,0,$N19/$L19))</f>
        <v/>
      </c>
      <c r="P19" s="15">
        <f>IF($C19="","",IF($D19="매수",0,MIN($E19,$K19)*$F19-IF($K19=0,0,$M19/$K19)*MIN($E19,$K19)-$G19))</f>
        <v/>
      </c>
    </row>
    <row r="20">
      <c r="A20" s="13" t="n"/>
      <c r="B20" s="9" t="n"/>
      <c r="C20" s="9" t="n"/>
      <c r="D20" s="9" t="n"/>
      <c r="E20" s="10" t="n"/>
      <c r="F20" s="10" t="n"/>
      <c r="G20" s="10" t="n"/>
      <c r="H20" s="9" t="n"/>
      <c r="I20" s="9" t="n"/>
      <c r="K20" s="14">
        <f>IF($C20="","",IFERROR(LOOKUP(2,1/($C$4:$C19=$C20),$L$4:$L19),0))</f>
        <v/>
      </c>
      <c r="L20" s="14">
        <f>IF($C20="","",IF($D20="매수",$K20+$E20,MAX(0,$K20-$E20)))</f>
        <v/>
      </c>
      <c r="M20" s="15">
        <f>IF($C20="","",IFERROR(LOOKUP(2,1/($C$4:$C19=$C20),$N$4:$N19),0))</f>
        <v/>
      </c>
      <c r="N20" s="15">
        <f>IF($C20="","",IF($D20="매수",$M20+$E20*$F20+$G20,$M20-IF($K20=0,0,$M20/$K20)*MIN($E20,$K20)))</f>
        <v/>
      </c>
      <c r="O20" s="14">
        <f>IF($C20="","",IF($L20=0,0,$N20/$L20))</f>
        <v/>
      </c>
      <c r="P20" s="15">
        <f>IF($C20="","",IF($D20="매수",0,MIN($E20,$K20)*$F20-IF($K20=0,0,$M20/$K20)*MIN($E20,$K20)-$G20))</f>
        <v/>
      </c>
    </row>
    <row r="21">
      <c r="A21" s="13" t="n"/>
      <c r="B21" s="9" t="n"/>
      <c r="C21" s="9" t="n"/>
      <c r="D21" s="9" t="n"/>
      <c r="E21" s="10" t="n"/>
      <c r="F21" s="10" t="n"/>
      <c r="G21" s="10" t="n"/>
      <c r="H21" s="9" t="n"/>
      <c r="I21" s="9" t="n"/>
      <c r="K21" s="14">
        <f>IF($C21="","",IFERROR(LOOKUP(2,1/($C$4:$C20=$C21),$L$4:$L20),0))</f>
        <v/>
      </c>
      <c r="L21" s="14">
        <f>IF($C21="","",IF($D21="매수",$K21+$E21,MAX(0,$K21-$E21)))</f>
        <v/>
      </c>
      <c r="M21" s="15">
        <f>IF($C21="","",IFERROR(LOOKUP(2,1/($C$4:$C20=$C21),$N$4:$N20),0))</f>
        <v/>
      </c>
      <c r="N21" s="15">
        <f>IF($C21="","",IF($D21="매수",$M21+$E21*$F21+$G21,$M21-IF($K21=0,0,$M21/$K21)*MIN($E21,$K21)))</f>
        <v/>
      </c>
      <c r="O21" s="14">
        <f>IF($C21="","",IF($L21=0,0,$N21/$L21))</f>
        <v/>
      </c>
      <c r="P21" s="15">
        <f>IF($C21="","",IF($D21="매수",0,MIN($E21,$K21)*$F21-IF($K21=0,0,$M21/$K21)*MIN($E21,$K21)-$G21))</f>
        <v/>
      </c>
    </row>
    <row r="22">
      <c r="A22" s="13" t="n"/>
      <c r="B22" s="9" t="n"/>
      <c r="C22" s="9" t="n"/>
      <c r="D22" s="9" t="n"/>
      <c r="E22" s="10" t="n"/>
      <c r="F22" s="10" t="n"/>
      <c r="G22" s="10" t="n"/>
      <c r="H22" s="9" t="n"/>
      <c r="I22" s="9" t="n"/>
      <c r="K22" s="14">
        <f>IF($C22="","",IFERROR(LOOKUP(2,1/($C$4:$C21=$C22),$L$4:$L21),0))</f>
        <v/>
      </c>
      <c r="L22" s="14">
        <f>IF($C22="","",IF($D22="매수",$K22+$E22,MAX(0,$K22-$E22)))</f>
        <v/>
      </c>
      <c r="M22" s="15">
        <f>IF($C22="","",IFERROR(LOOKUP(2,1/($C$4:$C21=$C22),$N$4:$N21),0))</f>
        <v/>
      </c>
      <c r="N22" s="15">
        <f>IF($C22="","",IF($D22="매수",$M22+$E22*$F22+$G22,$M22-IF($K22=0,0,$M22/$K22)*MIN($E22,$K22)))</f>
        <v/>
      </c>
      <c r="O22" s="14">
        <f>IF($C22="","",IF($L22=0,0,$N22/$L22))</f>
        <v/>
      </c>
      <c r="P22" s="15">
        <f>IF($C22="","",IF($D22="매수",0,MIN($E22,$K22)*$F22-IF($K22=0,0,$M22/$K22)*MIN($E22,$K22)-$G22))</f>
        <v/>
      </c>
    </row>
    <row r="23">
      <c r="A23" s="13" t="n"/>
      <c r="B23" s="9" t="n"/>
      <c r="C23" s="9" t="n"/>
      <c r="D23" s="9" t="n"/>
      <c r="E23" s="10" t="n"/>
      <c r="F23" s="10" t="n"/>
      <c r="G23" s="10" t="n"/>
      <c r="H23" s="9" t="n"/>
      <c r="I23" s="9" t="n"/>
      <c r="K23" s="14">
        <f>IF($C23="","",IFERROR(LOOKUP(2,1/($C$4:$C22=$C23),$L$4:$L22),0))</f>
        <v/>
      </c>
      <c r="L23" s="14">
        <f>IF($C23="","",IF($D23="매수",$K23+$E23,MAX(0,$K23-$E23)))</f>
        <v/>
      </c>
      <c r="M23" s="15">
        <f>IF($C23="","",IFERROR(LOOKUP(2,1/($C$4:$C22=$C23),$N$4:$N22),0))</f>
        <v/>
      </c>
      <c r="N23" s="15">
        <f>IF($C23="","",IF($D23="매수",$M23+$E23*$F23+$G23,$M23-IF($K23=0,0,$M23/$K23)*MIN($E23,$K23)))</f>
        <v/>
      </c>
      <c r="O23" s="14">
        <f>IF($C23="","",IF($L23=0,0,$N23/$L23))</f>
        <v/>
      </c>
      <c r="P23" s="15">
        <f>IF($C23="","",IF($D23="매수",0,MIN($E23,$K23)*$F23-IF($K23=0,0,$M23/$K23)*MIN($E23,$K23)-$G23))</f>
        <v/>
      </c>
    </row>
    <row r="24">
      <c r="A24" s="13" t="n"/>
      <c r="B24" s="9" t="n"/>
      <c r="C24" s="9" t="n"/>
      <c r="D24" s="9" t="n"/>
      <c r="E24" s="10" t="n"/>
      <c r="F24" s="10" t="n"/>
      <c r="G24" s="10" t="n"/>
      <c r="H24" s="9" t="n"/>
      <c r="I24" s="9" t="n"/>
      <c r="K24" s="14">
        <f>IF($C24="","",IFERROR(LOOKUP(2,1/($C$4:$C23=$C24),$L$4:$L23),0))</f>
        <v/>
      </c>
      <c r="L24" s="14">
        <f>IF($C24="","",IF($D24="매수",$K24+$E24,MAX(0,$K24-$E24)))</f>
        <v/>
      </c>
      <c r="M24" s="15">
        <f>IF($C24="","",IFERROR(LOOKUP(2,1/($C$4:$C23=$C24),$N$4:$N23),0))</f>
        <v/>
      </c>
      <c r="N24" s="15">
        <f>IF($C24="","",IF($D24="매수",$M24+$E24*$F24+$G24,$M24-IF($K24=0,0,$M24/$K24)*MIN($E24,$K24)))</f>
        <v/>
      </c>
      <c r="O24" s="14">
        <f>IF($C24="","",IF($L24=0,0,$N24/$L24))</f>
        <v/>
      </c>
      <c r="P24" s="15">
        <f>IF($C24="","",IF($D24="매수",0,MIN($E24,$K24)*$F24-IF($K24=0,0,$M24/$K24)*MIN($E24,$K24)-$G24))</f>
        <v/>
      </c>
    </row>
    <row r="25">
      <c r="A25" s="13" t="n"/>
      <c r="B25" s="9" t="n"/>
      <c r="C25" s="9" t="n"/>
      <c r="D25" s="9" t="n"/>
      <c r="E25" s="10" t="n"/>
      <c r="F25" s="10" t="n"/>
      <c r="G25" s="10" t="n"/>
      <c r="H25" s="9" t="n"/>
      <c r="I25" s="9" t="n"/>
      <c r="K25" s="14">
        <f>IF($C25="","",IFERROR(LOOKUP(2,1/($C$4:$C24=$C25),$L$4:$L24),0))</f>
        <v/>
      </c>
      <c r="L25" s="14">
        <f>IF($C25="","",IF($D25="매수",$K25+$E25,MAX(0,$K25-$E25)))</f>
        <v/>
      </c>
      <c r="M25" s="15">
        <f>IF($C25="","",IFERROR(LOOKUP(2,1/($C$4:$C24=$C25),$N$4:$N24),0))</f>
        <v/>
      </c>
      <c r="N25" s="15">
        <f>IF($C25="","",IF($D25="매수",$M25+$E25*$F25+$G25,$M25-IF($K25=0,0,$M25/$K25)*MIN($E25,$K25)))</f>
        <v/>
      </c>
      <c r="O25" s="14">
        <f>IF($C25="","",IF($L25=0,0,$N25/$L25))</f>
        <v/>
      </c>
      <c r="P25" s="15">
        <f>IF($C25="","",IF($D25="매수",0,MIN($E25,$K25)*$F25-IF($K25=0,0,$M25/$K25)*MIN($E25,$K25)-$G25))</f>
        <v/>
      </c>
    </row>
    <row r="26">
      <c r="A26" s="13" t="n"/>
      <c r="B26" s="9" t="n"/>
      <c r="C26" s="9" t="n"/>
      <c r="D26" s="9" t="n"/>
      <c r="E26" s="10" t="n"/>
      <c r="F26" s="10" t="n"/>
      <c r="G26" s="10" t="n"/>
      <c r="H26" s="9" t="n"/>
      <c r="I26" s="9" t="n"/>
      <c r="K26" s="14">
        <f>IF($C26="","",IFERROR(LOOKUP(2,1/($C$4:$C25=$C26),$L$4:$L25),0))</f>
        <v/>
      </c>
      <c r="L26" s="14">
        <f>IF($C26="","",IF($D26="매수",$K26+$E26,MAX(0,$K26-$E26)))</f>
        <v/>
      </c>
      <c r="M26" s="15">
        <f>IF($C26="","",IFERROR(LOOKUP(2,1/($C$4:$C25=$C26),$N$4:$N25),0))</f>
        <v/>
      </c>
      <c r="N26" s="15">
        <f>IF($C26="","",IF($D26="매수",$M26+$E26*$F26+$G26,$M26-IF($K26=0,0,$M26/$K26)*MIN($E26,$K26)))</f>
        <v/>
      </c>
      <c r="O26" s="14">
        <f>IF($C26="","",IF($L26=0,0,$N26/$L26))</f>
        <v/>
      </c>
      <c r="P26" s="15">
        <f>IF($C26="","",IF($D26="매수",0,MIN($E26,$K26)*$F26-IF($K26=0,0,$M26/$K26)*MIN($E26,$K26)-$G26))</f>
        <v/>
      </c>
    </row>
    <row r="27">
      <c r="A27" s="13" t="n"/>
      <c r="B27" s="9" t="n"/>
      <c r="C27" s="9" t="n"/>
      <c r="D27" s="9" t="n"/>
      <c r="E27" s="10" t="n"/>
      <c r="F27" s="10" t="n"/>
      <c r="G27" s="10" t="n"/>
      <c r="H27" s="9" t="n"/>
      <c r="I27" s="9" t="n"/>
      <c r="K27" s="14">
        <f>IF($C27="","",IFERROR(LOOKUP(2,1/($C$4:$C26=$C27),$L$4:$L26),0))</f>
        <v/>
      </c>
      <c r="L27" s="14">
        <f>IF($C27="","",IF($D27="매수",$K27+$E27,MAX(0,$K27-$E27)))</f>
        <v/>
      </c>
      <c r="M27" s="15">
        <f>IF($C27="","",IFERROR(LOOKUP(2,1/($C$4:$C26=$C27),$N$4:$N26),0))</f>
        <v/>
      </c>
      <c r="N27" s="15">
        <f>IF($C27="","",IF($D27="매수",$M27+$E27*$F27+$G27,$M27-IF($K27=0,0,$M27/$K27)*MIN($E27,$K27)))</f>
        <v/>
      </c>
      <c r="O27" s="14">
        <f>IF($C27="","",IF($L27=0,0,$N27/$L27))</f>
        <v/>
      </c>
      <c r="P27" s="15">
        <f>IF($C27="","",IF($D27="매수",0,MIN($E27,$K27)*$F27-IF($K27=0,0,$M27/$K27)*MIN($E27,$K27)-$G27))</f>
        <v/>
      </c>
    </row>
    <row r="28">
      <c r="A28" s="13" t="n"/>
      <c r="B28" s="9" t="n"/>
      <c r="C28" s="9" t="n"/>
      <c r="D28" s="9" t="n"/>
      <c r="E28" s="10" t="n"/>
      <c r="F28" s="10" t="n"/>
      <c r="G28" s="10" t="n"/>
      <c r="H28" s="9" t="n"/>
      <c r="I28" s="9" t="n"/>
      <c r="K28" s="14">
        <f>IF($C28="","",IFERROR(LOOKUP(2,1/($C$4:$C27=$C28),$L$4:$L27),0))</f>
        <v/>
      </c>
      <c r="L28" s="14">
        <f>IF($C28="","",IF($D28="매수",$K28+$E28,MAX(0,$K28-$E28)))</f>
        <v/>
      </c>
      <c r="M28" s="15">
        <f>IF($C28="","",IFERROR(LOOKUP(2,1/($C$4:$C27=$C28),$N$4:$N27),0))</f>
        <v/>
      </c>
      <c r="N28" s="15">
        <f>IF($C28="","",IF($D28="매수",$M28+$E28*$F28+$G28,$M28-IF($K28=0,0,$M28/$K28)*MIN($E28,$K28)))</f>
        <v/>
      </c>
      <c r="O28" s="14">
        <f>IF($C28="","",IF($L28=0,0,$N28/$L28))</f>
        <v/>
      </c>
      <c r="P28" s="15">
        <f>IF($C28="","",IF($D28="매수",0,MIN($E28,$K28)*$F28-IF($K28=0,0,$M28/$K28)*MIN($E28,$K28)-$G28))</f>
        <v/>
      </c>
    </row>
    <row r="29">
      <c r="A29" s="13" t="n"/>
      <c r="B29" s="9" t="n"/>
      <c r="C29" s="9" t="n"/>
      <c r="D29" s="9" t="n"/>
      <c r="E29" s="10" t="n"/>
      <c r="F29" s="10" t="n"/>
      <c r="G29" s="10" t="n"/>
      <c r="H29" s="9" t="n"/>
      <c r="I29" s="9" t="n"/>
      <c r="K29" s="14">
        <f>IF($C29="","",IFERROR(LOOKUP(2,1/($C$4:$C28=$C29),$L$4:$L28),0))</f>
        <v/>
      </c>
      <c r="L29" s="14">
        <f>IF($C29="","",IF($D29="매수",$K29+$E29,MAX(0,$K29-$E29)))</f>
        <v/>
      </c>
      <c r="M29" s="15">
        <f>IF($C29="","",IFERROR(LOOKUP(2,1/($C$4:$C28=$C29),$N$4:$N28),0))</f>
        <v/>
      </c>
      <c r="N29" s="15">
        <f>IF($C29="","",IF($D29="매수",$M29+$E29*$F29+$G29,$M29-IF($K29=0,0,$M29/$K29)*MIN($E29,$K29)))</f>
        <v/>
      </c>
      <c r="O29" s="14">
        <f>IF($C29="","",IF($L29=0,0,$N29/$L29))</f>
        <v/>
      </c>
      <c r="P29" s="15">
        <f>IF($C29="","",IF($D29="매수",0,MIN($E29,$K29)*$F29-IF($K29=0,0,$M29/$K29)*MIN($E29,$K29)-$G29))</f>
        <v/>
      </c>
    </row>
    <row r="30">
      <c r="A30" s="13" t="n"/>
      <c r="B30" s="9" t="n"/>
      <c r="C30" s="9" t="n"/>
      <c r="D30" s="9" t="n"/>
      <c r="E30" s="10" t="n"/>
      <c r="F30" s="10" t="n"/>
      <c r="G30" s="10" t="n"/>
      <c r="H30" s="9" t="n"/>
      <c r="I30" s="9" t="n"/>
      <c r="K30" s="14">
        <f>IF($C30="","",IFERROR(LOOKUP(2,1/($C$4:$C29=$C30),$L$4:$L29),0))</f>
        <v/>
      </c>
      <c r="L30" s="14">
        <f>IF($C30="","",IF($D30="매수",$K30+$E30,MAX(0,$K30-$E30)))</f>
        <v/>
      </c>
      <c r="M30" s="15">
        <f>IF($C30="","",IFERROR(LOOKUP(2,1/($C$4:$C29=$C30),$N$4:$N29),0))</f>
        <v/>
      </c>
      <c r="N30" s="15">
        <f>IF($C30="","",IF($D30="매수",$M30+$E30*$F30+$G30,$M30-IF($K30=0,0,$M30/$K30)*MIN($E30,$K30)))</f>
        <v/>
      </c>
      <c r="O30" s="14">
        <f>IF($C30="","",IF($L30=0,0,$N30/$L30))</f>
        <v/>
      </c>
      <c r="P30" s="15">
        <f>IF($C30="","",IF($D30="매수",0,MIN($E30,$K30)*$F30-IF($K30=0,0,$M30/$K30)*MIN($E30,$K30)-$G30))</f>
        <v/>
      </c>
    </row>
    <row r="31">
      <c r="A31" s="13" t="n"/>
      <c r="B31" s="9" t="n"/>
      <c r="C31" s="9" t="n"/>
      <c r="D31" s="9" t="n"/>
      <c r="E31" s="10" t="n"/>
      <c r="F31" s="10" t="n"/>
      <c r="G31" s="10" t="n"/>
      <c r="H31" s="9" t="n"/>
      <c r="I31" s="9" t="n"/>
      <c r="K31" s="14">
        <f>IF($C31="","",IFERROR(LOOKUP(2,1/($C$4:$C30=$C31),$L$4:$L30),0))</f>
        <v/>
      </c>
      <c r="L31" s="14">
        <f>IF($C31="","",IF($D31="매수",$K31+$E31,MAX(0,$K31-$E31)))</f>
        <v/>
      </c>
      <c r="M31" s="15">
        <f>IF($C31="","",IFERROR(LOOKUP(2,1/($C$4:$C30=$C31),$N$4:$N30),0))</f>
        <v/>
      </c>
      <c r="N31" s="15">
        <f>IF($C31="","",IF($D31="매수",$M31+$E31*$F31+$G31,$M31-IF($K31=0,0,$M31/$K31)*MIN($E31,$K31)))</f>
        <v/>
      </c>
      <c r="O31" s="14">
        <f>IF($C31="","",IF($L31=0,0,$N31/$L31))</f>
        <v/>
      </c>
      <c r="P31" s="15">
        <f>IF($C31="","",IF($D31="매수",0,MIN($E31,$K31)*$F31-IF($K31=0,0,$M31/$K31)*MIN($E31,$K31)-$G31))</f>
        <v/>
      </c>
    </row>
    <row r="32">
      <c r="A32" s="13" t="n"/>
      <c r="B32" s="9" t="n"/>
      <c r="C32" s="9" t="n"/>
      <c r="D32" s="9" t="n"/>
      <c r="E32" s="10" t="n"/>
      <c r="F32" s="10" t="n"/>
      <c r="G32" s="10" t="n"/>
      <c r="H32" s="9" t="n"/>
      <c r="I32" s="9" t="n"/>
      <c r="K32" s="14">
        <f>IF($C32="","",IFERROR(LOOKUP(2,1/($C$4:$C31=$C32),$L$4:$L31),0))</f>
        <v/>
      </c>
      <c r="L32" s="14">
        <f>IF($C32="","",IF($D32="매수",$K32+$E32,MAX(0,$K32-$E32)))</f>
        <v/>
      </c>
      <c r="M32" s="15">
        <f>IF($C32="","",IFERROR(LOOKUP(2,1/($C$4:$C31=$C32),$N$4:$N31),0))</f>
        <v/>
      </c>
      <c r="N32" s="15">
        <f>IF($C32="","",IF($D32="매수",$M32+$E32*$F32+$G32,$M32-IF($K32=0,0,$M32/$K32)*MIN($E32,$K32)))</f>
        <v/>
      </c>
      <c r="O32" s="14">
        <f>IF($C32="","",IF($L32=0,0,$N32/$L32))</f>
        <v/>
      </c>
      <c r="P32" s="15">
        <f>IF($C32="","",IF($D32="매수",0,MIN($E32,$K32)*$F32-IF($K32=0,0,$M32/$K32)*MIN($E32,$K32)-$G32))</f>
        <v/>
      </c>
    </row>
    <row r="33">
      <c r="A33" s="13" t="n"/>
      <c r="B33" s="9" t="n"/>
      <c r="C33" s="9" t="n"/>
      <c r="D33" s="9" t="n"/>
      <c r="E33" s="10" t="n"/>
      <c r="F33" s="10" t="n"/>
      <c r="G33" s="10" t="n"/>
      <c r="H33" s="9" t="n"/>
      <c r="I33" s="9" t="n"/>
      <c r="K33" s="14">
        <f>IF($C33="","",IFERROR(LOOKUP(2,1/($C$4:$C32=$C33),$L$4:$L32),0))</f>
        <v/>
      </c>
      <c r="L33" s="14">
        <f>IF($C33="","",IF($D33="매수",$K33+$E33,MAX(0,$K33-$E33)))</f>
        <v/>
      </c>
      <c r="M33" s="15">
        <f>IF($C33="","",IFERROR(LOOKUP(2,1/($C$4:$C32=$C33),$N$4:$N32),0))</f>
        <v/>
      </c>
      <c r="N33" s="15">
        <f>IF($C33="","",IF($D33="매수",$M33+$E33*$F33+$G33,$M33-IF($K33=0,0,$M33/$K33)*MIN($E33,$K33)))</f>
        <v/>
      </c>
      <c r="O33" s="14">
        <f>IF($C33="","",IF($L33=0,0,$N33/$L33))</f>
        <v/>
      </c>
      <c r="P33" s="15">
        <f>IF($C33="","",IF($D33="매수",0,MIN($E33,$K33)*$F33-IF($K33=0,0,$M33/$K33)*MIN($E33,$K33)-$G33))</f>
        <v/>
      </c>
    </row>
    <row r="34">
      <c r="A34" s="13" t="n"/>
      <c r="B34" s="9" t="n"/>
      <c r="C34" s="9" t="n"/>
      <c r="D34" s="9" t="n"/>
      <c r="E34" s="10" t="n"/>
      <c r="F34" s="10" t="n"/>
      <c r="G34" s="10" t="n"/>
      <c r="H34" s="9" t="n"/>
      <c r="I34" s="9" t="n"/>
      <c r="K34" s="14">
        <f>IF($C34="","",IFERROR(LOOKUP(2,1/($C$4:$C33=$C34),$L$4:$L33),0))</f>
        <v/>
      </c>
      <c r="L34" s="14">
        <f>IF($C34="","",IF($D34="매수",$K34+$E34,MAX(0,$K34-$E34)))</f>
        <v/>
      </c>
      <c r="M34" s="15">
        <f>IF($C34="","",IFERROR(LOOKUP(2,1/($C$4:$C33=$C34),$N$4:$N33),0))</f>
        <v/>
      </c>
      <c r="N34" s="15">
        <f>IF($C34="","",IF($D34="매수",$M34+$E34*$F34+$G34,$M34-IF($K34=0,0,$M34/$K34)*MIN($E34,$K34)))</f>
        <v/>
      </c>
      <c r="O34" s="14">
        <f>IF($C34="","",IF($L34=0,0,$N34/$L34))</f>
        <v/>
      </c>
      <c r="P34" s="15">
        <f>IF($C34="","",IF($D34="매수",0,MIN($E34,$K34)*$F34-IF($K34=0,0,$M34/$K34)*MIN($E34,$K34)-$G34))</f>
        <v/>
      </c>
    </row>
    <row r="35">
      <c r="A35" s="13" t="n"/>
      <c r="B35" s="9" t="n"/>
      <c r="C35" s="9" t="n"/>
      <c r="D35" s="9" t="n"/>
      <c r="E35" s="10" t="n"/>
      <c r="F35" s="10" t="n"/>
      <c r="G35" s="10" t="n"/>
      <c r="H35" s="9" t="n"/>
      <c r="I35" s="9" t="n"/>
      <c r="K35" s="14">
        <f>IF($C35="","",IFERROR(LOOKUP(2,1/($C$4:$C34=$C35),$L$4:$L34),0))</f>
        <v/>
      </c>
      <c r="L35" s="14">
        <f>IF($C35="","",IF($D35="매수",$K35+$E35,MAX(0,$K35-$E35)))</f>
        <v/>
      </c>
      <c r="M35" s="15">
        <f>IF($C35="","",IFERROR(LOOKUP(2,1/($C$4:$C34=$C35),$N$4:$N34),0))</f>
        <v/>
      </c>
      <c r="N35" s="15">
        <f>IF($C35="","",IF($D35="매수",$M35+$E35*$F35+$G35,$M35-IF($K35=0,0,$M35/$K35)*MIN($E35,$K35)))</f>
        <v/>
      </c>
      <c r="O35" s="14">
        <f>IF($C35="","",IF($L35=0,0,$N35/$L35))</f>
        <v/>
      </c>
      <c r="P35" s="15">
        <f>IF($C35="","",IF($D35="매수",0,MIN($E35,$K35)*$F35-IF($K35=0,0,$M35/$K35)*MIN($E35,$K35)-$G35))</f>
        <v/>
      </c>
    </row>
    <row r="36">
      <c r="A36" s="13" t="n"/>
      <c r="B36" s="9" t="n"/>
      <c r="C36" s="9" t="n"/>
      <c r="D36" s="9" t="n"/>
      <c r="E36" s="10" t="n"/>
      <c r="F36" s="10" t="n"/>
      <c r="G36" s="10" t="n"/>
      <c r="H36" s="9" t="n"/>
      <c r="I36" s="9" t="n"/>
      <c r="K36" s="14">
        <f>IF($C36="","",IFERROR(LOOKUP(2,1/($C$4:$C35=$C36),$L$4:$L35),0))</f>
        <v/>
      </c>
      <c r="L36" s="14">
        <f>IF($C36="","",IF($D36="매수",$K36+$E36,MAX(0,$K36-$E36)))</f>
        <v/>
      </c>
      <c r="M36" s="15">
        <f>IF($C36="","",IFERROR(LOOKUP(2,1/($C$4:$C35=$C36),$N$4:$N35),0))</f>
        <v/>
      </c>
      <c r="N36" s="15">
        <f>IF($C36="","",IF($D36="매수",$M36+$E36*$F36+$G36,$M36-IF($K36=0,0,$M36/$K36)*MIN($E36,$K36)))</f>
        <v/>
      </c>
      <c r="O36" s="14">
        <f>IF($C36="","",IF($L36=0,0,$N36/$L36))</f>
        <v/>
      </c>
      <c r="P36" s="15">
        <f>IF($C36="","",IF($D36="매수",0,MIN($E36,$K36)*$F36-IF($K36=0,0,$M36/$K36)*MIN($E36,$K36)-$G36))</f>
        <v/>
      </c>
    </row>
    <row r="37">
      <c r="A37" s="13" t="n"/>
      <c r="B37" s="9" t="n"/>
      <c r="C37" s="9" t="n"/>
      <c r="D37" s="9" t="n"/>
      <c r="E37" s="10" t="n"/>
      <c r="F37" s="10" t="n"/>
      <c r="G37" s="10" t="n"/>
      <c r="H37" s="9" t="n"/>
      <c r="I37" s="9" t="n"/>
      <c r="K37" s="14">
        <f>IF($C37="","",IFERROR(LOOKUP(2,1/($C$4:$C36=$C37),$L$4:$L36),0))</f>
        <v/>
      </c>
      <c r="L37" s="14">
        <f>IF($C37="","",IF($D37="매수",$K37+$E37,MAX(0,$K37-$E37)))</f>
        <v/>
      </c>
      <c r="M37" s="15">
        <f>IF($C37="","",IFERROR(LOOKUP(2,1/($C$4:$C36=$C37),$N$4:$N36),0))</f>
        <v/>
      </c>
      <c r="N37" s="15">
        <f>IF($C37="","",IF($D37="매수",$M37+$E37*$F37+$G37,$M37-IF($K37=0,0,$M37/$K37)*MIN($E37,$K37)))</f>
        <v/>
      </c>
      <c r="O37" s="14">
        <f>IF($C37="","",IF($L37=0,0,$N37/$L37))</f>
        <v/>
      </c>
      <c r="P37" s="15">
        <f>IF($C37="","",IF($D37="매수",0,MIN($E37,$K37)*$F37-IF($K37=0,0,$M37/$K37)*MIN($E37,$K37)-$G37))</f>
        <v/>
      </c>
    </row>
    <row r="38">
      <c r="A38" s="13" t="n"/>
      <c r="B38" s="9" t="n"/>
      <c r="C38" s="9" t="n"/>
      <c r="D38" s="9" t="n"/>
      <c r="E38" s="10" t="n"/>
      <c r="F38" s="10" t="n"/>
      <c r="G38" s="10" t="n"/>
      <c r="H38" s="9" t="n"/>
      <c r="I38" s="9" t="n"/>
      <c r="K38" s="14">
        <f>IF($C38="","",IFERROR(LOOKUP(2,1/($C$4:$C37=$C38),$L$4:$L37),0))</f>
        <v/>
      </c>
      <c r="L38" s="14">
        <f>IF($C38="","",IF($D38="매수",$K38+$E38,MAX(0,$K38-$E38)))</f>
        <v/>
      </c>
      <c r="M38" s="15">
        <f>IF($C38="","",IFERROR(LOOKUP(2,1/($C$4:$C37=$C38),$N$4:$N37),0))</f>
        <v/>
      </c>
      <c r="N38" s="15">
        <f>IF($C38="","",IF($D38="매수",$M38+$E38*$F38+$G38,$M38-IF($K38=0,0,$M38/$K38)*MIN($E38,$K38)))</f>
        <v/>
      </c>
      <c r="O38" s="14">
        <f>IF($C38="","",IF($L38=0,0,$N38/$L38))</f>
        <v/>
      </c>
      <c r="P38" s="15">
        <f>IF($C38="","",IF($D38="매수",0,MIN($E38,$K38)*$F38-IF($K38=0,0,$M38/$K38)*MIN($E38,$K38)-$G38))</f>
        <v/>
      </c>
    </row>
    <row r="39">
      <c r="A39" s="13" t="n"/>
      <c r="B39" s="9" t="n"/>
      <c r="C39" s="9" t="n"/>
      <c r="D39" s="9" t="n"/>
      <c r="E39" s="10" t="n"/>
      <c r="F39" s="10" t="n"/>
      <c r="G39" s="10" t="n"/>
      <c r="H39" s="9" t="n"/>
      <c r="I39" s="9" t="n"/>
      <c r="K39" s="14">
        <f>IF($C39="","",IFERROR(LOOKUP(2,1/($C$4:$C38=$C39),$L$4:$L38),0))</f>
        <v/>
      </c>
      <c r="L39" s="14">
        <f>IF($C39="","",IF($D39="매수",$K39+$E39,MAX(0,$K39-$E39)))</f>
        <v/>
      </c>
      <c r="M39" s="15">
        <f>IF($C39="","",IFERROR(LOOKUP(2,1/($C$4:$C38=$C39),$N$4:$N38),0))</f>
        <v/>
      </c>
      <c r="N39" s="15">
        <f>IF($C39="","",IF($D39="매수",$M39+$E39*$F39+$G39,$M39-IF($K39=0,0,$M39/$K39)*MIN($E39,$K39)))</f>
        <v/>
      </c>
      <c r="O39" s="14">
        <f>IF($C39="","",IF($L39=0,0,$N39/$L39))</f>
        <v/>
      </c>
      <c r="P39" s="15">
        <f>IF($C39="","",IF($D39="매수",0,MIN($E39,$K39)*$F39-IF($K39=0,0,$M39/$K39)*MIN($E39,$K39)-$G39))</f>
        <v/>
      </c>
    </row>
    <row r="40">
      <c r="A40" s="13" t="n"/>
      <c r="B40" s="9" t="n"/>
      <c r="C40" s="9" t="n"/>
      <c r="D40" s="9" t="n"/>
      <c r="E40" s="10" t="n"/>
      <c r="F40" s="10" t="n"/>
      <c r="G40" s="10" t="n"/>
      <c r="H40" s="9" t="n"/>
      <c r="I40" s="9" t="n"/>
      <c r="K40" s="14">
        <f>IF($C40="","",IFERROR(LOOKUP(2,1/($C$4:$C39=$C40),$L$4:$L39),0))</f>
        <v/>
      </c>
      <c r="L40" s="14">
        <f>IF($C40="","",IF($D40="매수",$K40+$E40,MAX(0,$K40-$E40)))</f>
        <v/>
      </c>
      <c r="M40" s="15">
        <f>IF($C40="","",IFERROR(LOOKUP(2,1/($C$4:$C39=$C40),$N$4:$N39),0))</f>
        <v/>
      </c>
      <c r="N40" s="15">
        <f>IF($C40="","",IF($D40="매수",$M40+$E40*$F40+$G40,$M40-IF($K40=0,0,$M40/$K40)*MIN($E40,$K40)))</f>
        <v/>
      </c>
      <c r="O40" s="14">
        <f>IF($C40="","",IF($L40=0,0,$N40/$L40))</f>
        <v/>
      </c>
      <c r="P40" s="15">
        <f>IF($C40="","",IF($D40="매수",0,MIN($E40,$K40)*$F40-IF($K40=0,0,$M40/$K40)*MIN($E40,$K40)-$G40))</f>
        <v/>
      </c>
    </row>
    <row r="41">
      <c r="A41" s="13" t="n"/>
      <c r="B41" s="9" t="n"/>
      <c r="C41" s="9" t="n"/>
      <c r="D41" s="9" t="n"/>
      <c r="E41" s="10" t="n"/>
      <c r="F41" s="10" t="n"/>
      <c r="G41" s="10" t="n"/>
      <c r="H41" s="9" t="n"/>
      <c r="I41" s="9" t="n"/>
      <c r="K41" s="14">
        <f>IF($C41="","",IFERROR(LOOKUP(2,1/($C$4:$C40=$C41),$L$4:$L40),0))</f>
        <v/>
      </c>
      <c r="L41" s="14">
        <f>IF($C41="","",IF($D41="매수",$K41+$E41,MAX(0,$K41-$E41)))</f>
        <v/>
      </c>
      <c r="M41" s="15">
        <f>IF($C41="","",IFERROR(LOOKUP(2,1/($C$4:$C40=$C41),$N$4:$N40),0))</f>
        <v/>
      </c>
      <c r="N41" s="15">
        <f>IF($C41="","",IF($D41="매수",$M41+$E41*$F41+$G41,$M41-IF($K41=0,0,$M41/$K41)*MIN($E41,$K41)))</f>
        <v/>
      </c>
      <c r="O41" s="14">
        <f>IF($C41="","",IF($L41=0,0,$N41/$L41))</f>
        <v/>
      </c>
      <c r="P41" s="15">
        <f>IF($C41="","",IF($D41="매수",0,MIN($E41,$K41)*$F41-IF($K41=0,0,$M41/$K41)*MIN($E41,$K41)-$G41))</f>
        <v/>
      </c>
    </row>
    <row r="42">
      <c r="A42" s="13" t="n"/>
      <c r="B42" s="9" t="n"/>
      <c r="C42" s="9" t="n"/>
      <c r="D42" s="9" t="n"/>
      <c r="E42" s="10" t="n"/>
      <c r="F42" s="10" t="n"/>
      <c r="G42" s="10" t="n"/>
      <c r="H42" s="9" t="n"/>
      <c r="I42" s="9" t="n"/>
      <c r="K42" s="14">
        <f>IF($C42="","",IFERROR(LOOKUP(2,1/($C$4:$C41=$C42),$L$4:$L41),0))</f>
        <v/>
      </c>
      <c r="L42" s="14">
        <f>IF($C42="","",IF($D42="매수",$K42+$E42,MAX(0,$K42-$E42)))</f>
        <v/>
      </c>
      <c r="M42" s="15">
        <f>IF($C42="","",IFERROR(LOOKUP(2,1/($C$4:$C41=$C42),$N$4:$N41),0))</f>
        <v/>
      </c>
      <c r="N42" s="15">
        <f>IF($C42="","",IF($D42="매수",$M42+$E42*$F42+$G42,$M42-IF($K42=0,0,$M42/$K42)*MIN($E42,$K42)))</f>
        <v/>
      </c>
      <c r="O42" s="14">
        <f>IF($C42="","",IF($L42=0,0,$N42/$L42))</f>
        <v/>
      </c>
      <c r="P42" s="15">
        <f>IF($C42="","",IF($D42="매수",0,MIN($E42,$K42)*$F42-IF($K42=0,0,$M42/$K42)*MIN($E42,$K42)-$G42))</f>
        <v/>
      </c>
    </row>
    <row r="43">
      <c r="A43" s="13" t="n"/>
      <c r="B43" s="9" t="n"/>
      <c r="C43" s="9" t="n"/>
      <c r="D43" s="9" t="n"/>
      <c r="E43" s="10" t="n"/>
      <c r="F43" s="10" t="n"/>
      <c r="G43" s="10" t="n"/>
      <c r="H43" s="9" t="n"/>
      <c r="I43" s="9" t="n"/>
      <c r="K43" s="14">
        <f>IF($C43="","",IFERROR(LOOKUP(2,1/($C$4:$C42=$C43),$L$4:$L42),0))</f>
        <v/>
      </c>
      <c r="L43" s="14">
        <f>IF($C43="","",IF($D43="매수",$K43+$E43,MAX(0,$K43-$E43)))</f>
        <v/>
      </c>
      <c r="M43" s="15">
        <f>IF($C43="","",IFERROR(LOOKUP(2,1/($C$4:$C42=$C43),$N$4:$N42),0))</f>
        <v/>
      </c>
      <c r="N43" s="15">
        <f>IF($C43="","",IF($D43="매수",$M43+$E43*$F43+$G43,$M43-IF($K43=0,0,$M43/$K43)*MIN($E43,$K43)))</f>
        <v/>
      </c>
      <c r="O43" s="14">
        <f>IF($C43="","",IF($L43=0,0,$N43/$L43))</f>
        <v/>
      </c>
      <c r="P43" s="15">
        <f>IF($C43="","",IF($D43="매수",0,MIN($E43,$K43)*$F43-IF($K43=0,0,$M43/$K43)*MIN($E43,$K43)-$G43))</f>
        <v/>
      </c>
    </row>
    <row r="44">
      <c r="A44" s="13" t="n"/>
      <c r="B44" s="9" t="n"/>
      <c r="C44" s="9" t="n"/>
      <c r="D44" s="9" t="n"/>
      <c r="E44" s="10" t="n"/>
      <c r="F44" s="10" t="n"/>
      <c r="G44" s="10" t="n"/>
      <c r="H44" s="9" t="n"/>
      <c r="I44" s="9" t="n"/>
      <c r="K44" s="14">
        <f>IF($C44="","",IFERROR(LOOKUP(2,1/($C$4:$C43=$C44),$L$4:$L43),0))</f>
        <v/>
      </c>
      <c r="L44" s="14">
        <f>IF($C44="","",IF($D44="매수",$K44+$E44,MAX(0,$K44-$E44)))</f>
        <v/>
      </c>
      <c r="M44" s="15">
        <f>IF($C44="","",IFERROR(LOOKUP(2,1/($C$4:$C43=$C44),$N$4:$N43),0))</f>
        <v/>
      </c>
      <c r="N44" s="15">
        <f>IF($C44="","",IF($D44="매수",$M44+$E44*$F44+$G44,$M44-IF($K44=0,0,$M44/$K44)*MIN($E44,$K44)))</f>
        <v/>
      </c>
      <c r="O44" s="14">
        <f>IF($C44="","",IF($L44=0,0,$N44/$L44))</f>
        <v/>
      </c>
      <c r="P44" s="15">
        <f>IF($C44="","",IF($D44="매수",0,MIN($E44,$K44)*$F44-IF($K44=0,0,$M44/$K44)*MIN($E44,$K44)-$G44))</f>
        <v/>
      </c>
    </row>
    <row r="45">
      <c r="A45" s="13" t="n"/>
      <c r="B45" s="9" t="n"/>
      <c r="C45" s="9" t="n"/>
      <c r="D45" s="9" t="n"/>
      <c r="E45" s="10" t="n"/>
      <c r="F45" s="10" t="n"/>
      <c r="G45" s="10" t="n"/>
      <c r="H45" s="9" t="n"/>
      <c r="I45" s="9" t="n"/>
      <c r="K45" s="14">
        <f>IF($C45="","",IFERROR(LOOKUP(2,1/($C$4:$C44=$C45),$L$4:$L44),0))</f>
        <v/>
      </c>
      <c r="L45" s="14">
        <f>IF($C45="","",IF($D45="매수",$K45+$E45,MAX(0,$K45-$E45)))</f>
        <v/>
      </c>
      <c r="M45" s="15">
        <f>IF($C45="","",IFERROR(LOOKUP(2,1/($C$4:$C44=$C45),$N$4:$N44),0))</f>
        <v/>
      </c>
      <c r="N45" s="15">
        <f>IF($C45="","",IF($D45="매수",$M45+$E45*$F45+$G45,$M45-IF($K45=0,0,$M45/$K45)*MIN($E45,$K45)))</f>
        <v/>
      </c>
      <c r="O45" s="14">
        <f>IF($C45="","",IF($L45=0,0,$N45/$L45))</f>
        <v/>
      </c>
      <c r="P45" s="15">
        <f>IF($C45="","",IF($D45="매수",0,MIN($E45,$K45)*$F45-IF($K45=0,0,$M45/$K45)*MIN($E45,$K45)-$G45))</f>
        <v/>
      </c>
    </row>
    <row r="46">
      <c r="A46" s="13" t="n"/>
      <c r="B46" s="9" t="n"/>
      <c r="C46" s="9" t="n"/>
      <c r="D46" s="9" t="n"/>
      <c r="E46" s="10" t="n"/>
      <c r="F46" s="10" t="n"/>
      <c r="G46" s="10" t="n"/>
      <c r="H46" s="9" t="n"/>
      <c r="I46" s="9" t="n"/>
      <c r="K46" s="14">
        <f>IF($C46="","",IFERROR(LOOKUP(2,1/($C$4:$C45=$C46),$L$4:$L45),0))</f>
        <v/>
      </c>
      <c r="L46" s="14">
        <f>IF($C46="","",IF($D46="매수",$K46+$E46,MAX(0,$K46-$E46)))</f>
        <v/>
      </c>
      <c r="M46" s="15">
        <f>IF($C46="","",IFERROR(LOOKUP(2,1/($C$4:$C45=$C46),$N$4:$N45),0))</f>
        <v/>
      </c>
      <c r="N46" s="15">
        <f>IF($C46="","",IF($D46="매수",$M46+$E46*$F46+$G46,$M46-IF($K46=0,0,$M46/$K46)*MIN($E46,$K46)))</f>
        <v/>
      </c>
      <c r="O46" s="14">
        <f>IF($C46="","",IF($L46=0,0,$N46/$L46))</f>
        <v/>
      </c>
      <c r="P46" s="15">
        <f>IF($C46="","",IF($D46="매수",0,MIN($E46,$K46)*$F46-IF($K46=0,0,$M46/$K46)*MIN($E46,$K46)-$G46))</f>
        <v/>
      </c>
    </row>
    <row r="47">
      <c r="A47" s="13" t="n"/>
      <c r="B47" s="9" t="n"/>
      <c r="C47" s="9" t="n"/>
      <c r="D47" s="9" t="n"/>
      <c r="E47" s="10" t="n"/>
      <c r="F47" s="10" t="n"/>
      <c r="G47" s="10" t="n"/>
      <c r="H47" s="9" t="n"/>
      <c r="I47" s="9" t="n"/>
      <c r="K47" s="14">
        <f>IF($C47="","",IFERROR(LOOKUP(2,1/($C$4:$C46=$C47),$L$4:$L46),0))</f>
        <v/>
      </c>
      <c r="L47" s="14">
        <f>IF($C47="","",IF($D47="매수",$K47+$E47,MAX(0,$K47-$E47)))</f>
        <v/>
      </c>
      <c r="M47" s="15">
        <f>IF($C47="","",IFERROR(LOOKUP(2,1/($C$4:$C46=$C47),$N$4:$N46),0))</f>
        <v/>
      </c>
      <c r="N47" s="15">
        <f>IF($C47="","",IF($D47="매수",$M47+$E47*$F47+$G47,$M47-IF($K47=0,0,$M47/$K47)*MIN($E47,$K47)))</f>
        <v/>
      </c>
      <c r="O47" s="14">
        <f>IF($C47="","",IF($L47=0,0,$N47/$L47))</f>
        <v/>
      </c>
      <c r="P47" s="15">
        <f>IF($C47="","",IF($D47="매수",0,MIN($E47,$K47)*$F47-IF($K47=0,0,$M47/$K47)*MIN($E47,$K47)-$G47))</f>
        <v/>
      </c>
    </row>
    <row r="48">
      <c r="A48" s="13" t="n"/>
      <c r="B48" s="9" t="n"/>
      <c r="C48" s="9" t="n"/>
      <c r="D48" s="9" t="n"/>
      <c r="E48" s="10" t="n"/>
      <c r="F48" s="10" t="n"/>
      <c r="G48" s="10" t="n"/>
      <c r="H48" s="9" t="n"/>
      <c r="I48" s="9" t="n"/>
      <c r="K48" s="14">
        <f>IF($C48="","",IFERROR(LOOKUP(2,1/($C$4:$C47=$C48),$L$4:$L47),0))</f>
        <v/>
      </c>
      <c r="L48" s="14">
        <f>IF($C48="","",IF($D48="매수",$K48+$E48,MAX(0,$K48-$E48)))</f>
        <v/>
      </c>
      <c r="M48" s="15">
        <f>IF($C48="","",IFERROR(LOOKUP(2,1/($C$4:$C47=$C48),$N$4:$N47),0))</f>
        <v/>
      </c>
      <c r="N48" s="15">
        <f>IF($C48="","",IF($D48="매수",$M48+$E48*$F48+$G48,$M48-IF($K48=0,0,$M48/$K48)*MIN($E48,$K48)))</f>
        <v/>
      </c>
      <c r="O48" s="14">
        <f>IF($C48="","",IF($L48=0,0,$N48/$L48))</f>
        <v/>
      </c>
      <c r="P48" s="15">
        <f>IF($C48="","",IF($D48="매수",0,MIN($E48,$K48)*$F48-IF($K48=0,0,$M48/$K48)*MIN($E48,$K48)-$G48))</f>
        <v/>
      </c>
    </row>
    <row r="49">
      <c r="A49" s="13" t="n"/>
      <c r="B49" s="9" t="n"/>
      <c r="C49" s="9" t="n"/>
      <c r="D49" s="9" t="n"/>
      <c r="E49" s="10" t="n"/>
      <c r="F49" s="10" t="n"/>
      <c r="G49" s="10" t="n"/>
      <c r="H49" s="9" t="n"/>
      <c r="I49" s="9" t="n"/>
      <c r="K49" s="14">
        <f>IF($C49="","",IFERROR(LOOKUP(2,1/($C$4:$C48=$C49),$L$4:$L48),0))</f>
        <v/>
      </c>
      <c r="L49" s="14">
        <f>IF($C49="","",IF($D49="매수",$K49+$E49,MAX(0,$K49-$E49)))</f>
        <v/>
      </c>
      <c r="M49" s="15">
        <f>IF($C49="","",IFERROR(LOOKUP(2,1/($C$4:$C48=$C49),$N$4:$N48),0))</f>
        <v/>
      </c>
      <c r="N49" s="15">
        <f>IF($C49="","",IF($D49="매수",$M49+$E49*$F49+$G49,$M49-IF($K49=0,0,$M49/$K49)*MIN($E49,$K49)))</f>
        <v/>
      </c>
      <c r="O49" s="14">
        <f>IF($C49="","",IF($L49=0,0,$N49/$L49))</f>
        <v/>
      </c>
      <c r="P49" s="15">
        <f>IF($C49="","",IF($D49="매수",0,MIN($E49,$K49)*$F49-IF($K49=0,0,$M49/$K49)*MIN($E49,$K49)-$G49))</f>
        <v/>
      </c>
    </row>
    <row r="50">
      <c r="A50" s="13" t="n"/>
      <c r="B50" s="9" t="n"/>
      <c r="C50" s="9" t="n"/>
      <c r="D50" s="9" t="n"/>
      <c r="E50" s="10" t="n"/>
      <c r="F50" s="10" t="n"/>
      <c r="G50" s="10" t="n"/>
      <c r="H50" s="9" t="n"/>
      <c r="I50" s="9" t="n"/>
      <c r="K50" s="14">
        <f>IF($C50="","",IFERROR(LOOKUP(2,1/($C$4:$C49=$C50),$L$4:$L49),0))</f>
        <v/>
      </c>
      <c r="L50" s="14">
        <f>IF($C50="","",IF($D50="매수",$K50+$E50,MAX(0,$K50-$E50)))</f>
        <v/>
      </c>
      <c r="M50" s="15">
        <f>IF($C50="","",IFERROR(LOOKUP(2,1/($C$4:$C49=$C50),$N$4:$N49),0))</f>
        <v/>
      </c>
      <c r="N50" s="15">
        <f>IF($C50="","",IF($D50="매수",$M50+$E50*$F50+$G50,$M50-IF($K50=0,0,$M50/$K50)*MIN($E50,$K50)))</f>
        <v/>
      </c>
      <c r="O50" s="14">
        <f>IF($C50="","",IF($L50=0,0,$N50/$L50))</f>
        <v/>
      </c>
      <c r="P50" s="15">
        <f>IF($C50="","",IF($D50="매수",0,MIN($E50,$K50)*$F50-IF($K50=0,0,$M50/$K50)*MIN($E50,$K50)-$G50))</f>
        <v/>
      </c>
    </row>
    <row r="51">
      <c r="A51" s="13" t="n"/>
      <c r="B51" s="9" t="n"/>
      <c r="C51" s="9" t="n"/>
      <c r="D51" s="9" t="n"/>
      <c r="E51" s="10" t="n"/>
      <c r="F51" s="10" t="n"/>
      <c r="G51" s="10" t="n"/>
      <c r="H51" s="9" t="n"/>
      <c r="I51" s="9" t="n"/>
      <c r="K51" s="14">
        <f>IF($C51="","",IFERROR(LOOKUP(2,1/($C$4:$C50=$C51),$L$4:$L50),0))</f>
        <v/>
      </c>
      <c r="L51" s="14">
        <f>IF($C51="","",IF($D51="매수",$K51+$E51,MAX(0,$K51-$E51)))</f>
        <v/>
      </c>
      <c r="M51" s="15">
        <f>IF($C51="","",IFERROR(LOOKUP(2,1/($C$4:$C50=$C51),$N$4:$N50),0))</f>
        <v/>
      </c>
      <c r="N51" s="15">
        <f>IF($C51="","",IF($D51="매수",$M51+$E51*$F51+$G51,$M51-IF($K51=0,0,$M51/$K51)*MIN($E51,$K51)))</f>
        <v/>
      </c>
      <c r="O51" s="14">
        <f>IF($C51="","",IF($L51=0,0,$N51/$L51))</f>
        <v/>
      </c>
      <c r="P51" s="15">
        <f>IF($C51="","",IF($D51="매수",0,MIN($E51,$K51)*$F51-IF($K51=0,0,$M51/$K51)*MIN($E51,$K51)-$G51))</f>
        <v/>
      </c>
    </row>
    <row r="52">
      <c r="A52" s="13" t="n"/>
      <c r="B52" s="9" t="n"/>
      <c r="C52" s="9" t="n"/>
      <c r="D52" s="9" t="n"/>
      <c r="E52" s="10" t="n"/>
      <c r="F52" s="10" t="n"/>
      <c r="G52" s="10" t="n"/>
      <c r="H52" s="9" t="n"/>
      <c r="I52" s="9" t="n"/>
      <c r="K52" s="14">
        <f>IF($C52="","",IFERROR(LOOKUP(2,1/($C$4:$C51=$C52),$L$4:$L51),0))</f>
        <v/>
      </c>
      <c r="L52" s="14">
        <f>IF($C52="","",IF($D52="매수",$K52+$E52,MAX(0,$K52-$E52)))</f>
        <v/>
      </c>
      <c r="M52" s="15">
        <f>IF($C52="","",IFERROR(LOOKUP(2,1/($C$4:$C51=$C52),$N$4:$N51),0))</f>
        <v/>
      </c>
      <c r="N52" s="15">
        <f>IF($C52="","",IF($D52="매수",$M52+$E52*$F52+$G52,$M52-IF($K52=0,0,$M52/$K52)*MIN($E52,$K52)))</f>
        <v/>
      </c>
      <c r="O52" s="14">
        <f>IF($C52="","",IF($L52=0,0,$N52/$L52))</f>
        <v/>
      </c>
      <c r="P52" s="15">
        <f>IF($C52="","",IF($D52="매수",0,MIN($E52,$K52)*$F52-IF($K52=0,0,$M52/$K52)*MIN($E52,$K52)-$G52))</f>
        <v/>
      </c>
    </row>
    <row r="53">
      <c r="A53" s="13" t="n"/>
      <c r="B53" s="9" t="n"/>
      <c r="C53" s="9" t="n"/>
      <c r="D53" s="9" t="n"/>
      <c r="E53" s="10" t="n"/>
      <c r="F53" s="10" t="n"/>
      <c r="G53" s="10" t="n"/>
      <c r="H53" s="9" t="n"/>
      <c r="I53" s="9" t="n"/>
      <c r="K53" s="14">
        <f>IF($C53="","",IFERROR(LOOKUP(2,1/($C$4:$C52=$C53),$L$4:$L52),0))</f>
        <v/>
      </c>
      <c r="L53" s="14">
        <f>IF($C53="","",IF($D53="매수",$K53+$E53,MAX(0,$K53-$E53)))</f>
        <v/>
      </c>
      <c r="M53" s="15">
        <f>IF($C53="","",IFERROR(LOOKUP(2,1/($C$4:$C52=$C53),$N$4:$N52),0))</f>
        <v/>
      </c>
      <c r="N53" s="15">
        <f>IF($C53="","",IF($D53="매수",$M53+$E53*$F53+$G53,$M53-IF($K53=0,0,$M53/$K53)*MIN($E53,$K53)))</f>
        <v/>
      </c>
      <c r="O53" s="14">
        <f>IF($C53="","",IF($L53=0,0,$N53/$L53))</f>
        <v/>
      </c>
      <c r="P53" s="15">
        <f>IF($C53="","",IF($D53="매수",0,MIN($E53,$K53)*$F53-IF($K53=0,0,$M53/$K53)*MIN($E53,$K53)-$G53))</f>
        <v/>
      </c>
    </row>
    <row r="54">
      <c r="A54" s="13" t="n"/>
      <c r="B54" s="9" t="n"/>
      <c r="C54" s="9" t="n"/>
      <c r="D54" s="9" t="n"/>
      <c r="E54" s="10" t="n"/>
      <c r="F54" s="10" t="n"/>
      <c r="G54" s="10" t="n"/>
      <c r="H54" s="9" t="n"/>
      <c r="I54" s="9" t="n"/>
      <c r="K54" s="14">
        <f>IF($C54="","",IFERROR(LOOKUP(2,1/($C$4:$C53=$C54),$L$4:$L53),0))</f>
        <v/>
      </c>
      <c r="L54" s="14">
        <f>IF($C54="","",IF($D54="매수",$K54+$E54,MAX(0,$K54-$E54)))</f>
        <v/>
      </c>
      <c r="M54" s="15">
        <f>IF($C54="","",IFERROR(LOOKUP(2,1/($C$4:$C53=$C54),$N$4:$N53),0))</f>
        <v/>
      </c>
      <c r="N54" s="15">
        <f>IF($C54="","",IF($D54="매수",$M54+$E54*$F54+$G54,$M54-IF($K54=0,0,$M54/$K54)*MIN($E54,$K54)))</f>
        <v/>
      </c>
      <c r="O54" s="14">
        <f>IF($C54="","",IF($L54=0,0,$N54/$L54))</f>
        <v/>
      </c>
      <c r="P54" s="15">
        <f>IF($C54="","",IF($D54="매수",0,MIN($E54,$K54)*$F54-IF($K54=0,0,$M54/$K54)*MIN($E54,$K54)-$G54))</f>
        <v/>
      </c>
    </row>
    <row r="55">
      <c r="A55" s="13" t="n"/>
      <c r="B55" s="9" t="n"/>
      <c r="C55" s="9" t="n"/>
      <c r="D55" s="9" t="n"/>
      <c r="E55" s="10" t="n"/>
      <c r="F55" s="10" t="n"/>
      <c r="G55" s="10" t="n"/>
      <c r="H55" s="9" t="n"/>
      <c r="I55" s="9" t="n"/>
      <c r="K55" s="14">
        <f>IF($C55="","",IFERROR(LOOKUP(2,1/($C$4:$C54=$C55),$L$4:$L54),0))</f>
        <v/>
      </c>
      <c r="L55" s="14">
        <f>IF($C55="","",IF($D55="매수",$K55+$E55,MAX(0,$K55-$E55)))</f>
        <v/>
      </c>
      <c r="M55" s="15">
        <f>IF($C55="","",IFERROR(LOOKUP(2,1/($C$4:$C54=$C55),$N$4:$N54),0))</f>
        <v/>
      </c>
      <c r="N55" s="15">
        <f>IF($C55="","",IF($D55="매수",$M55+$E55*$F55+$G55,$M55-IF($K55=0,0,$M55/$K55)*MIN($E55,$K55)))</f>
        <v/>
      </c>
      <c r="O55" s="14">
        <f>IF($C55="","",IF($L55=0,0,$N55/$L55))</f>
        <v/>
      </c>
      <c r="P55" s="15">
        <f>IF($C55="","",IF($D55="매수",0,MIN($E55,$K55)*$F55-IF($K55=0,0,$M55/$K55)*MIN($E55,$K55)-$G55))</f>
        <v/>
      </c>
    </row>
    <row r="56">
      <c r="A56" s="13" t="n"/>
      <c r="B56" s="9" t="n"/>
      <c r="C56" s="9" t="n"/>
      <c r="D56" s="9" t="n"/>
      <c r="E56" s="10" t="n"/>
      <c r="F56" s="10" t="n"/>
      <c r="G56" s="10" t="n"/>
      <c r="H56" s="9" t="n"/>
      <c r="I56" s="9" t="n"/>
      <c r="K56" s="14">
        <f>IF($C56="","",IFERROR(LOOKUP(2,1/($C$4:$C55=$C56),$L$4:$L55),0))</f>
        <v/>
      </c>
      <c r="L56" s="14">
        <f>IF($C56="","",IF($D56="매수",$K56+$E56,MAX(0,$K56-$E56)))</f>
        <v/>
      </c>
      <c r="M56" s="15">
        <f>IF($C56="","",IFERROR(LOOKUP(2,1/($C$4:$C55=$C56),$N$4:$N55),0))</f>
        <v/>
      </c>
      <c r="N56" s="15">
        <f>IF($C56="","",IF($D56="매수",$M56+$E56*$F56+$G56,$M56-IF($K56=0,0,$M56/$K56)*MIN($E56,$K56)))</f>
        <v/>
      </c>
      <c r="O56" s="14">
        <f>IF($C56="","",IF($L56=0,0,$N56/$L56))</f>
        <v/>
      </c>
      <c r="P56" s="15">
        <f>IF($C56="","",IF($D56="매수",0,MIN($E56,$K56)*$F56-IF($K56=0,0,$M56/$K56)*MIN($E56,$K56)-$G56))</f>
        <v/>
      </c>
    </row>
    <row r="57">
      <c r="A57" s="13" t="n"/>
      <c r="B57" s="9" t="n"/>
      <c r="C57" s="9" t="n"/>
      <c r="D57" s="9" t="n"/>
      <c r="E57" s="10" t="n"/>
      <c r="F57" s="10" t="n"/>
      <c r="G57" s="10" t="n"/>
      <c r="H57" s="9" t="n"/>
      <c r="I57" s="9" t="n"/>
      <c r="K57" s="14">
        <f>IF($C57="","",IFERROR(LOOKUP(2,1/($C$4:$C56=$C57),$L$4:$L56),0))</f>
        <v/>
      </c>
      <c r="L57" s="14">
        <f>IF($C57="","",IF($D57="매수",$K57+$E57,MAX(0,$K57-$E57)))</f>
        <v/>
      </c>
      <c r="M57" s="15">
        <f>IF($C57="","",IFERROR(LOOKUP(2,1/($C$4:$C56=$C57),$N$4:$N56),0))</f>
        <v/>
      </c>
      <c r="N57" s="15">
        <f>IF($C57="","",IF($D57="매수",$M57+$E57*$F57+$G57,$M57-IF($K57=0,0,$M57/$K57)*MIN($E57,$K57)))</f>
        <v/>
      </c>
      <c r="O57" s="14">
        <f>IF($C57="","",IF($L57=0,0,$N57/$L57))</f>
        <v/>
      </c>
      <c r="P57" s="15">
        <f>IF($C57="","",IF($D57="매수",0,MIN($E57,$K57)*$F57-IF($K57=0,0,$M57/$K57)*MIN($E57,$K57)-$G57))</f>
        <v/>
      </c>
    </row>
    <row r="58">
      <c r="A58" s="13" t="n"/>
      <c r="B58" s="9" t="n"/>
      <c r="C58" s="9" t="n"/>
      <c r="D58" s="9" t="n"/>
      <c r="E58" s="10" t="n"/>
      <c r="F58" s="10" t="n"/>
      <c r="G58" s="10" t="n"/>
      <c r="H58" s="9" t="n"/>
      <c r="I58" s="9" t="n"/>
      <c r="K58" s="14">
        <f>IF($C58="","",IFERROR(LOOKUP(2,1/($C$4:$C57=$C58),$L$4:$L57),0))</f>
        <v/>
      </c>
      <c r="L58" s="14">
        <f>IF($C58="","",IF($D58="매수",$K58+$E58,MAX(0,$K58-$E58)))</f>
        <v/>
      </c>
      <c r="M58" s="15">
        <f>IF($C58="","",IFERROR(LOOKUP(2,1/($C$4:$C57=$C58),$N$4:$N57),0))</f>
        <v/>
      </c>
      <c r="N58" s="15">
        <f>IF($C58="","",IF($D58="매수",$M58+$E58*$F58+$G58,$M58-IF($K58=0,0,$M58/$K58)*MIN($E58,$K58)))</f>
        <v/>
      </c>
      <c r="O58" s="14">
        <f>IF($C58="","",IF($L58=0,0,$N58/$L58))</f>
        <v/>
      </c>
      <c r="P58" s="15">
        <f>IF($C58="","",IF($D58="매수",0,MIN($E58,$K58)*$F58-IF($K58=0,0,$M58/$K58)*MIN($E58,$K58)-$G58))</f>
        <v/>
      </c>
    </row>
    <row r="59">
      <c r="A59" s="13" t="n"/>
      <c r="B59" s="9" t="n"/>
      <c r="C59" s="9" t="n"/>
      <c r="D59" s="9" t="n"/>
      <c r="E59" s="10" t="n"/>
      <c r="F59" s="10" t="n"/>
      <c r="G59" s="10" t="n"/>
      <c r="H59" s="9" t="n"/>
      <c r="I59" s="9" t="n"/>
      <c r="K59" s="14">
        <f>IF($C59="","",IFERROR(LOOKUP(2,1/($C$4:$C58=$C59),$L$4:$L58),0))</f>
        <v/>
      </c>
      <c r="L59" s="14">
        <f>IF($C59="","",IF($D59="매수",$K59+$E59,MAX(0,$K59-$E59)))</f>
        <v/>
      </c>
      <c r="M59" s="15">
        <f>IF($C59="","",IFERROR(LOOKUP(2,1/($C$4:$C58=$C59),$N$4:$N58),0))</f>
        <v/>
      </c>
      <c r="N59" s="15">
        <f>IF($C59="","",IF($D59="매수",$M59+$E59*$F59+$G59,$M59-IF($K59=0,0,$M59/$K59)*MIN($E59,$K59)))</f>
        <v/>
      </c>
      <c r="O59" s="14">
        <f>IF($C59="","",IF($L59=0,0,$N59/$L59))</f>
        <v/>
      </c>
      <c r="P59" s="15">
        <f>IF($C59="","",IF($D59="매수",0,MIN($E59,$K59)*$F59-IF($K59=0,0,$M59/$K59)*MIN($E59,$K59)-$G59))</f>
        <v/>
      </c>
    </row>
    <row r="60">
      <c r="A60" s="13" t="n"/>
      <c r="B60" s="9" t="n"/>
      <c r="C60" s="9" t="n"/>
      <c r="D60" s="9" t="n"/>
      <c r="E60" s="10" t="n"/>
      <c r="F60" s="10" t="n"/>
      <c r="G60" s="10" t="n"/>
      <c r="H60" s="9" t="n"/>
      <c r="I60" s="9" t="n"/>
      <c r="K60" s="14">
        <f>IF($C60="","",IFERROR(LOOKUP(2,1/($C$4:$C59=$C60),$L$4:$L59),0))</f>
        <v/>
      </c>
      <c r="L60" s="14">
        <f>IF($C60="","",IF($D60="매수",$K60+$E60,MAX(0,$K60-$E60)))</f>
        <v/>
      </c>
      <c r="M60" s="15">
        <f>IF($C60="","",IFERROR(LOOKUP(2,1/($C$4:$C59=$C60),$N$4:$N59),0))</f>
        <v/>
      </c>
      <c r="N60" s="15">
        <f>IF($C60="","",IF($D60="매수",$M60+$E60*$F60+$G60,$M60-IF($K60=0,0,$M60/$K60)*MIN($E60,$K60)))</f>
        <v/>
      </c>
      <c r="O60" s="14">
        <f>IF($C60="","",IF($L60=0,0,$N60/$L60))</f>
        <v/>
      </c>
      <c r="P60" s="15">
        <f>IF($C60="","",IF($D60="매수",0,MIN($E60,$K60)*$F60-IF($K60=0,0,$M60/$K60)*MIN($E60,$K60)-$G60))</f>
        <v/>
      </c>
    </row>
    <row r="61">
      <c r="A61" s="13" t="n"/>
      <c r="B61" s="9" t="n"/>
      <c r="C61" s="9" t="n"/>
      <c r="D61" s="9" t="n"/>
      <c r="E61" s="10" t="n"/>
      <c r="F61" s="10" t="n"/>
      <c r="G61" s="10" t="n"/>
      <c r="H61" s="9" t="n"/>
      <c r="I61" s="9" t="n"/>
      <c r="K61" s="14">
        <f>IF($C61="","",IFERROR(LOOKUP(2,1/($C$4:$C60=$C61),$L$4:$L60),0))</f>
        <v/>
      </c>
      <c r="L61" s="14">
        <f>IF($C61="","",IF($D61="매수",$K61+$E61,MAX(0,$K61-$E61)))</f>
        <v/>
      </c>
      <c r="M61" s="15">
        <f>IF($C61="","",IFERROR(LOOKUP(2,1/($C$4:$C60=$C61),$N$4:$N60),0))</f>
        <v/>
      </c>
      <c r="N61" s="15">
        <f>IF($C61="","",IF($D61="매수",$M61+$E61*$F61+$G61,$M61-IF($K61=0,0,$M61/$K61)*MIN($E61,$K61)))</f>
        <v/>
      </c>
      <c r="O61" s="14">
        <f>IF($C61="","",IF($L61=0,0,$N61/$L61))</f>
        <v/>
      </c>
      <c r="P61" s="15">
        <f>IF($C61="","",IF($D61="매수",0,MIN($E61,$K61)*$F61-IF($K61=0,0,$M61/$K61)*MIN($E61,$K61)-$G61))</f>
        <v/>
      </c>
    </row>
    <row r="62">
      <c r="A62" s="13" t="n"/>
      <c r="B62" s="9" t="n"/>
      <c r="C62" s="9" t="n"/>
      <c r="D62" s="9" t="n"/>
      <c r="E62" s="10" t="n"/>
      <c r="F62" s="10" t="n"/>
      <c r="G62" s="10" t="n"/>
      <c r="H62" s="9" t="n"/>
      <c r="I62" s="9" t="n"/>
      <c r="K62" s="14">
        <f>IF($C62="","",IFERROR(LOOKUP(2,1/($C$4:$C61=$C62),$L$4:$L61),0))</f>
        <v/>
      </c>
      <c r="L62" s="14">
        <f>IF($C62="","",IF($D62="매수",$K62+$E62,MAX(0,$K62-$E62)))</f>
        <v/>
      </c>
      <c r="M62" s="15">
        <f>IF($C62="","",IFERROR(LOOKUP(2,1/($C$4:$C61=$C62),$N$4:$N61),0))</f>
        <v/>
      </c>
      <c r="N62" s="15">
        <f>IF($C62="","",IF($D62="매수",$M62+$E62*$F62+$G62,$M62-IF($K62=0,0,$M62/$K62)*MIN($E62,$K62)))</f>
        <v/>
      </c>
      <c r="O62" s="14">
        <f>IF($C62="","",IF($L62=0,0,$N62/$L62))</f>
        <v/>
      </c>
      <c r="P62" s="15">
        <f>IF($C62="","",IF($D62="매수",0,MIN($E62,$K62)*$F62-IF($K62=0,0,$M62/$K62)*MIN($E62,$K62)-$G62))</f>
        <v/>
      </c>
    </row>
    <row r="63">
      <c r="A63" s="13" t="n"/>
      <c r="B63" s="9" t="n"/>
      <c r="C63" s="9" t="n"/>
      <c r="D63" s="9" t="n"/>
      <c r="E63" s="10" t="n"/>
      <c r="F63" s="10" t="n"/>
      <c r="G63" s="10" t="n"/>
      <c r="H63" s="9" t="n"/>
      <c r="I63" s="9" t="n"/>
      <c r="K63" s="14">
        <f>IF($C63="","",IFERROR(LOOKUP(2,1/($C$4:$C62=$C63),$L$4:$L62),0))</f>
        <v/>
      </c>
      <c r="L63" s="14">
        <f>IF($C63="","",IF($D63="매수",$K63+$E63,MAX(0,$K63-$E63)))</f>
        <v/>
      </c>
      <c r="M63" s="15">
        <f>IF($C63="","",IFERROR(LOOKUP(2,1/($C$4:$C62=$C63),$N$4:$N62),0))</f>
        <v/>
      </c>
      <c r="N63" s="15">
        <f>IF($C63="","",IF($D63="매수",$M63+$E63*$F63+$G63,$M63-IF($K63=0,0,$M63/$K63)*MIN($E63,$K63)))</f>
        <v/>
      </c>
      <c r="O63" s="14">
        <f>IF($C63="","",IF($L63=0,0,$N63/$L63))</f>
        <v/>
      </c>
      <c r="P63" s="15">
        <f>IF($C63="","",IF($D63="매수",0,MIN($E63,$K63)*$F63-IF($K63=0,0,$M63/$K63)*MIN($E63,$K63)-$G63))</f>
        <v/>
      </c>
    </row>
    <row r="64">
      <c r="A64" s="13" t="n"/>
      <c r="B64" s="9" t="n"/>
      <c r="C64" s="9" t="n"/>
      <c r="D64" s="9" t="n"/>
      <c r="E64" s="10" t="n"/>
      <c r="F64" s="10" t="n"/>
      <c r="G64" s="10" t="n"/>
      <c r="H64" s="9" t="n"/>
      <c r="I64" s="9" t="n"/>
      <c r="K64" s="14">
        <f>IF($C64="","",IFERROR(LOOKUP(2,1/($C$4:$C63=$C64),$L$4:$L63),0))</f>
        <v/>
      </c>
      <c r="L64" s="14">
        <f>IF($C64="","",IF($D64="매수",$K64+$E64,MAX(0,$K64-$E64)))</f>
        <v/>
      </c>
      <c r="M64" s="15">
        <f>IF($C64="","",IFERROR(LOOKUP(2,1/($C$4:$C63=$C64),$N$4:$N63),0))</f>
        <v/>
      </c>
      <c r="N64" s="15">
        <f>IF($C64="","",IF($D64="매수",$M64+$E64*$F64+$G64,$M64-IF($K64=0,0,$M64/$K64)*MIN($E64,$K64)))</f>
        <v/>
      </c>
      <c r="O64" s="14">
        <f>IF($C64="","",IF($L64=0,0,$N64/$L64))</f>
        <v/>
      </c>
      <c r="P64" s="15">
        <f>IF($C64="","",IF($D64="매수",0,MIN($E64,$K64)*$F64-IF($K64=0,0,$M64/$K64)*MIN($E64,$K64)-$G64))</f>
        <v/>
      </c>
    </row>
    <row r="65">
      <c r="A65" s="13" t="n"/>
      <c r="B65" s="9" t="n"/>
      <c r="C65" s="9" t="n"/>
      <c r="D65" s="9" t="n"/>
      <c r="E65" s="10" t="n"/>
      <c r="F65" s="10" t="n"/>
      <c r="G65" s="10" t="n"/>
      <c r="H65" s="9" t="n"/>
      <c r="I65" s="9" t="n"/>
      <c r="K65" s="14">
        <f>IF($C65="","",IFERROR(LOOKUP(2,1/($C$4:$C64=$C65),$L$4:$L64),0))</f>
        <v/>
      </c>
      <c r="L65" s="14">
        <f>IF($C65="","",IF($D65="매수",$K65+$E65,MAX(0,$K65-$E65)))</f>
        <v/>
      </c>
      <c r="M65" s="15">
        <f>IF($C65="","",IFERROR(LOOKUP(2,1/($C$4:$C64=$C65),$N$4:$N64),0))</f>
        <v/>
      </c>
      <c r="N65" s="15">
        <f>IF($C65="","",IF($D65="매수",$M65+$E65*$F65+$G65,$M65-IF($K65=0,0,$M65/$K65)*MIN($E65,$K65)))</f>
        <v/>
      </c>
      <c r="O65" s="14">
        <f>IF($C65="","",IF($L65=0,0,$N65/$L65))</f>
        <v/>
      </c>
      <c r="P65" s="15">
        <f>IF($C65="","",IF($D65="매수",0,MIN($E65,$K65)*$F65-IF($K65=0,0,$M65/$K65)*MIN($E65,$K65)-$G65))</f>
        <v/>
      </c>
    </row>
    <row r="66">
      <c r="A66" s="13" t="n"/>
      <c r="B66" s="9" t="n"/>
      <c r="C66" s="9" t="n"/>
      <c r="D66" s="9" t="n"/>
      <c r="E66" s="10" t="n"/>
      <c r="F66" s="10" t="n"/>
      <c r="G66" s="10" t="n"/>
      <c r="H66" s="9" t="n"/>
      <c r="I66" s="9" t="n"/>
      <c r="K66" s="14">
        <f>IF($C66="","",IFERROR(LOOKUP(2,1/($C$4:$C65=$C66),$L$4:$L65),0))</f>
        <v/>
      </c>
      <c r="L66" s="14">
        <f>IF($C66="","",IF($D66="매수",$K66+$E66,MAX(0,$K66-$E66)))</f>
        <v/>
      </c>
      <c r="M66" s="15">
        <f>IF($C66="","",IFERROR(LOOKUP(2,1/($C$4:$C65=$C66),$N$4:$N65),0))</f>
        <v/>
      </c>
      <c r="N66" s="15">
        <f>IF($C66="","",IF($D66="매수",$M66+$E66*$F66+$G66,$M66-IF($K66=0,0,$M66/$K66)*MIN($E66,$K66)))</f>
        <v/>
      </c>
      <c r="O66" s="14">
        <f>IF($C66="","",IF($L66=0,0,$N66/$L66))</f>
        <v/>
      </c>
      <c r="P66" s="15">
        <f>IF($C66="","",IF($D66="매수",0,MIN($E66,$K66)*$F66-IF($K66=0,0,$M66/$K66)*MIN($E66,$K66)-$G66))</f>
        <v/>
      </c>
    </row>
    <row r="67">
      <c r="A67" s="13" t="n"/>
      <c r="B67" s="9" t="n"/>
      <c r="C67" s="9" t="n"/>
      <c r="D67" s="9" t="n"/>
      <c r="E67" s="10" t="n"/>
      <c r="F67" s="10" t="n"/>
      <c r="G67" s="10" t="n"/>
      <c r="H67" s="9" t="n"/>
      <c r="I67" s="9" t="n"/>
      <c r="K67" s="14">
        <f>IF($C67="","",IFERROR(LOOKUP(2,1/($C$4:$C66=$C67),$L$4:$L66),0))</f>
        <v/>
      </c>
      <c r="L67" s="14">
        <f>IF($C67="","",IF($D67="매수",$K67+$E67,MAX(0,$K67-$E67)))</f>
        <v/>
      </c>
      <c r="M67" s="15">
        <f>IF($C67="","",IFERROR(LOOKUP(2,1/($C$4:$C66=$C67),$N$4:$N66),0))</f>
        <v/>
      </c>
      <c r="N67" s="15">
        <f>IF($C67="","",IF($D67="매수",$M67+$E67*$F67+$G67,$M67-IF($K67=0,0,$M67/$K67)*MIN($E67,$K67)))</f>
        <v/>
      </c>
      <c r="O67" s="14">
        <f>IF($C67="","",IF($L67=0,0,$N67/$L67))</f>
        <v/>
      </c>
      <c r="P67" s="15">
        <f>IF($C67="","",IF($D67="매수",0,MIN($E67,$K67)*$F67-IF($K67=0,0,$M67/$K67)*MIN($E67,$K67)-$G67))</f>
        <v/>
      </c>
    </row>
    <row r="68">
      <c r="A68" s="13" t="n"/>
      <c r="B68" s="9" t="n"/>
      <c r="C68" s="9" t="n"/>
      <c r="D68" s="9" t="n"/>
      <c r="E68" s="10" t="n"/>
      <c r="F68" s="10" t="n"/>
      <c r="G68" s="10" t="n"/>
      <c r="H68" s="9" t="n"/>
      <c r="I68" s="9" t="n"/>
      <c r="K68" s="14">
        <f>IF($C68="","",IFERROR(LOOKUP(2,1/($C$4:$C67=$C68),$L$4:$L67),0))</f>
        <v/>
      </c>
      <c r="L68" s="14">
        <f>IF($C68="","",IF($D68="매수",$K68+$E68,MAX(0,$K68-$E68)))</f>
        <v/>
      </c>
      <c r="M68" s="15">
        <f>IF($C68="","",IFERROR(LOOKUP(2,1/($C$4:$C67=$C68),$N$4:$N67),0))</f>
        <v/>
      </c>
      <c r="N68" s="15">
        <f>IF($C68="","",IF($D68="매수",$M68+$E68*$F68+$G68,$M68-IF($K68=0,0,$M68/$K68)*MIN($E68,$K68)))</f>
        <v/>
      </c>
      <c r="O68" s="14">
        <f>IF($C68="","",IF($L68=0,0,$N68/$L68))</f>
        <v/>
      </c>
      <c r="P68" s="15">
        <f>IF($C68="","",IF($D68="매수",0,MIN($E68,$K68)*$F68-IF($K68=0,0,$M68/$K68)*MIN($E68,$K68)-$G68))</f>
        <v/>
      </c>
    </row>
    <row r="69">
      <c r="A69" s="13" t="n"/>
      <c r="B69" s="9" t="n"/>
      <c r="C69" s="9" t="n"/>
      <c r="D69" s="9" t="n"/>
      <c r="E69" s="10" t="n"/>
      <c r="F69" s="10" t="n"/>
      <c r="G69" s="10" t="n"/>
      <c r="H69" s="9" t="n"/>
      <c r="I69" s="9" t="n"/>
      <c r="K69" s="14">
        <f>IF($C69="","",IFERROR(LOOKUP(2,1/($C$4:$C68=$C69),$L$4:$L68),0))</f>
        <v/>
      </c>
      <c r="L69" s="14">
        <f>IF($C69="","",IF($D69="매수",$K69+$E69,MAX(0,$K69-$E69)))</f>
        <v/>
      </c>
      <c r="M69" s="15">
        <f>IF($C69="","",IFERROR(LOOKUP(2,1/($C$4:$C68=$C69),$N$4:$N68),0))</f>
        <v/>
      </c>
      <c r="N69" s="15">
        <f>IF($C69="","",IF($D69="매수",$M69+$E69*$F69+$G69,$M69-IF($K69=0,0,$M69/$K69)*MIN($E69,$K69)))</f>
        <v/>
      </c>
      <c r="O69" s="14">
        <f>IF($C69="","",IF($L69=0,0,$N69/$L69))</f>
        <v/>
      </c>
      <c r="P69" s="15">
        <f>IF($C69="","",IF($D69="매수",0,MIN($E69,$K69)*$F69-IF($K69=0,0,$M69/$K69)*MIN($E69,$K69)-$G69))</f>
        <v/>
      </c>
    </row>
    <row r="70">
      <c r="A70" s="13" t="n"/>
      <c r="B70" s="9" t="n"/>
      <c r="C70" s="9" t="n"/>
      <c r="D70" s="9" t="n"/>
      <c r="E70" s="10" t="n"/>
      <c r="F70" s="10" t="n"/>
      <c r="G70" s="10" t="n"/>
      <c r="H70" s="9" t="n"/>
      <c r="I70" s="9" t="n"/>
      <c r="K70" s="14">
        <f>IF($C70="","",IFERROR(LOOKUP(2,1/($C$4:$C69=$C70),$L$4:$L69),0))</f>
        <v/>
      </c>
      <c r="L70" s="14">
        <f>IF($C70="","",IF($D70="매수",$K70+$E70,MAX(0,$K70-$E70)))</f>
        <v/>
      </c>
      <c r="M70" s="15">
        <f>IF($C70="","",IFERROR(LOOKUP(2,1/($C$4:$C69=$C70),$N$4:$N69),0))</f>
        <v/>
      </c>
      <c r="N70" s="15">
        <f>IF($C70="","",IF($D70="매수",$M70+$E70*$F70+$G70,$M70-IF($K70=0,0,$M70/$K70)*MIN($E70,$K70)))</f>
        <v/>
      </c>
      <c r="O70" s="14">
        <f>IF($C70="","",IF($L70=0,0,$N70/$L70))</f>
        <v/>
      </c>
      <c r="P70" s="15">
        <f>IF($C70="","",IF($D70="매수",0,MIN($E70,$K70)*$F70-IF($K70=0,0,$M70/$K70)*MIN($E70,$K70)-$G70))</f>
        <v/>
      </c>
    </row>
    <row r="71">
      <c r="A71" s="13" t="n"/>
      <c r="B71" s="9" t="n"/>
      <c r="C71" s="9" t="n"/>
      <c r="D71" s="9" t="n"/>
      <c r="E71" s="10" t="n"/>
      <c r="F71" s="10" t="n"/>
      <c r="G71" s="10" t="n"/>
      <c r="H71" s="9" t="n"/>
      <c r="I71" s="9" t="n"/>
      <c r="K71" s="14">
        <f>IF($C71="","",IFERROR(LOOKUP(2,1/($C$4:$C70=$C71),$L$4:$L70),0))</f>
        <v/>
      </c>
      <c r="L71" s="14">
        <f>IF($C71="","",IF($D71="매수",$K71+$E71,MAX(0,$K71-$E71)))</f>
        <v/>
      </c>
      <c r="M71" s="15">
        <f>IF($C71="","",IFERROR(LOOKUP(2,1/($C$4:$C70=$C71),$N$4:$N70),0))</f>
        <v/>
      </c>
      <c r="N71" s="15">
        <f>IF($C71="","",IF($D71="매수",$M71+$E71*$F71+$G71,$M71-IF($K71=0,0,$M71/$K71)*MIN($E71,$K71)))</f>
        <v/>
      </c>
      <c r="O71" s="14">
        <f>IF($C71="","",IF($L71=0,0,$N71/$L71))</f>
        <v/>
      </c>
      <c r="P71" s="15">
        <f>IF($C71="","",IF($D71="매수",0,MIN($E71,$K71)*$F71-IF($K71=0,0,$M71/$K71)*MIN($E71,$K71)-$G71))</f>
        <v/>
      </c>
    </row>
    <row r="72">
      <c r="A72" s="13" t="n"/>
      <c r="B72" s="9" t="n"/>
      <c r="C72" s="9" t="n"/>
      <c r="D72" s="9" t="n"/>
      <c r="E72" s="10" t="n"/>
      <c r="F72" s="10" t="n"/>
      <c r="G72" s="10" t="n"/>
      <c r="H72" s="9" t="n"/>
      <c r="I72" s="9" t="n"/>
      <c r="K72" s="14">
        <f>IF($C72="","",IFERROR(LOOKUP(2,1/($C$4:$C71=$C72),$L$4:$L71),0))</f>
        <v/>
      </c>
      <c r="L72" s="14">
        <f>IF($C72="","",IF($D72="매수",$K72+$E72,MAX(0,$K72-$E72)))</f>
        <v/>
      </c>
      <c r="M72" s="15">
        <f>IF($C72="","",IFERROR(LOOKUP(2,1/($C$4:$C71=$C72),$N$4:$N71),0))</f>
        <v/>
      </c>
      <c r="N72" s="15">
        <f>IF($C72="","",IF($D72="매수",$M72+$E72*$F72+$G72,$M72-IF($K72=0,0,$M72/$K72)*MIN($E72,$K72)))</f>
        <v/>
      </c>
      <c r="O72" s="14">
        <f>IF($C72="","",IF($L72=0,0,$N72/$L72))</f>
        <v/>
      </c>
      <c r="P72" s="15">
        <f>IF($C72="","",IF($D72="매수",0,MIN($E72,$K72)*$F72-IF($K72=0,0,$M72/$K72)*MIN($E72,$K72)-$G72))</f>
        <v/>
      </c>
    </row>
    <row r="73">
      <c r="A73" s="13" t="n"/>
      <c r="B73" s="9" t="n"/>
      <c r="C73" s="9" t="n"/>
      <c r="D73" s="9" t="n"/>
      <c r="E73" s="10" t="n"/>
      <c r="F73" s="10" t="n"/>
      <c r="G73" s="10" t="n"/>
      <c r="H73" s="9" t="n"/>
      <c r="I73" s="9" t="n"/>
      <c r="K73" s="14">
        <f>IF($C73="","",IFERROR(LOOKUP(2,1/($C$4:$C72=$C73),$L$4:$L72),0))</f>
        <v/>
      </c>
      <c r="L73" s="14">
        <f>IF($C73="","",IF($D73="매수",$K73+$E73,MAX(0,$K73-$E73)))</f>
        <v/>
      </c>
      <c r="M73" s="15">
        <f>IF($C73="","",IFERROR(LOOKUP(2,1/($C$4:$C72=$C73),$N$4:$N72),0))</f>
        <v/>
      </c>
      <c r="N73" s="15">
        <f>IF($C73="","",IF($D73="매수",$M73+$E73*$F73+$G73,$M73-IF($K73=0,0,$M73/$K73)*MIN($E73,$K73)))</f>
        <v/>
      </c>
      <c r="O73" s="14">
        <f>IF($C73="","",IF($L73=0,0,$N73/$L73))</f>
        <v/>
      </c>
      <c r="P73" s="15">
        <f>IF($C73="","",IF($D73="매수",0,MIN($E73,$K73)*$F73-IF($K73=0,0,$M73/$K73)*MIN($E73,$K73)-$G73))</f>
        <v/>
      </c>
    </row>
    <row r="74">
      <c r="A74" s="13" t="n"/>
      <c r="B74" s="9" t="n"/>
      <c r="C74" s="9" t="n"/>
      <c r="D74" s="9" t="n"/>
      <c r="E74" s="10" t="n"/>
      <c r="F74" s="10" t="n"/>
      <c r="G74" s="10" t="n"/>
      <c r="H74" s="9" t="n"/>
      <c r="I74" s="9" t="n"/>
      <c r="K74" s="14">
        <f>IF($C74="","",IFERROR(LOOKUP(2,1/($C$4:$C73=$C74),$L$4:$L73),0))</f>
        <v/>
      </c>
      <c r="L74" s="14">
        <f>IF($C74="","",IF($D74="매수",$K74+$E74,MAX(0,$K74-$E74)))</f>
        <v/>
      </c>
      <c r="M74" s="15">
        <f>IF($C74="","",IFERROR(LOOKUP(2,1/($C$4:$C73=$C74),$N$4:$N73),0))</f>
        <v/>
      </c>
      <c r="N74" s="15">
        <f>IF($C74="","",IF($D74="매수",$M74+$E74*$F74+$G74,$M74-IF($K74=0,0,$M74/$K74)*MIN($E74,$K74)))</f>
        <v/>
      </c>
      <c r="O74" s="14">
        <f>IF($C74="","",IF($L74=0,0,$N74/$L74))</f>
        <v/>
      </c>
      <c r="P74" s="15">
        <f>IF($C74="","",IF($D74="매수",0,MIN($E74,$K74)*$F74-IF($K74=0,0,$M74/$K74)*MIN($E74,$K74)-$G74))</f>
        <v/>
      </c>
    </row>
    <row r="75">
      <c r="A75" s="13" t="n"/>
      <c r="B75" s="9" t="n"/>
      <c r="C75" s="9" t="n"/>
      <c r="D75" s="9" t="n"/>
      <c r="E75" s="10" t="n"/>
      <c r="F75" s="10" t="n"/>
      <c r="G75" s="10" t="n"/>
      <c r="H75" s="9" t="n"/>
      <c r="I75" s="9" t="n"/>
      <c r="K75" s="14">
        <f>IF($C75="","",IFERROR(LOOKUP(2,1/($C$4:$C74=$C75),$L$4:$L74),0))</f>
        <v/>
      </c>
      <c r="L75" s="14">
        <f>IF($C75="","",IF($D75="매수",$K75+$E75,MAX(0,$K75-$E75)))</f>
        <v/>
      </c>
      <c r="M75" s="15">
        <f>IF($C75="","",IFERROR(LOOKUP(2,1/($C$4:$C74=$C75),$N$4:$N74),0))</f>
        <v/>
      </c>
      <c r="N75" s="15">
        <f>IF($C75="","",IF($D75="매수",$M75+$E75*$F75+$G75,$M75-IF($K75=0,0,$M75/$K75)*MIN($E75,$K75)))</f>
        <v/>
      </c>
      <c r="O75" s="14">
        <f>IF($C75="","",IF($L75=0,0,$N75/$L75))</f>
        <v/>
      </c>
      <c r="P75" s="15">
        <f>IF($C75="","",IF($D75="매수",0,MIN($E75,$K75)*$F75-IF($K75=0,0,$M75/$K75)*MIN($E75,$K75)-$G75))</f>
        <v/>
      </c>
    </row>
    <row r="76">
      <c r="A76" s="13" t="n"/>
      <c r="B76" s="9" t="n"/>
      <c r="C76" s="9" t="n"/>
      <c r="D76" s="9" t="n"/>
      <c r="E76" s="10" t="n"/>
      <c r="F76" s="10" t="n"/>
      <c r="G76" s="10" t="n"/>
      <c r="H76" s="9" t="n"/>
      <c r="I76" s="9" t="n"/>
      <c r="K76" s="14">
        <f>IF($C76="","",IFERROR(LOOKUP(2,1/($C$4:$C75=$C76),$L$4:$L75),0))</f>
        <v/>
      </c>
      <c r="L76" s="14">
        <f>IF($C76="","",IF($D76="매수",$K76+$E76,MAX(0,$K76-$E76)))</f>
        <v/>
      </c>
      <c r="M76" s="15">
        <f>IF($C76="","",IFERROR(LOOKUP(2,1/($C$4:$C75=$C76),$N$4:$N75),0))</f>
        <v/>
      </c>
      <c r="N76" s="15">
        <f>IF($C76="","",IF($D76="매수",$M76+$E76*$F76+$G76,$M76-IF($K76=0,0,$M76/$K76)*MIN($E76,$K76)))</f>
        <v/>
      </c>
      <c r="O76" s="14">
        <f>IF($C76="","",IF($L76=0,0,$N76/$L76))</f>
        <v/>
      </c>
      <c r="P76" s="15">
        <f>IF($C76="","",IF($D76="매수",0,MIN($E76,$K76)*$F76-IF($K76=0,0,$M76/$K76)*MIN($E76,$K76)-$G76))</f>
        <v/>
      </c>
    </row>
    <row r="77">
      <c r="A77" s="13" t="n"/>
      <c r="B77" s="9" t="n"/>
      <c r="C77" s="9" t="n"/>
      <c r="D77" s="9" t="n"/>
      <c r="E77" s="10" t="n"/>
      <c r="F77" s="10" t="n"/>
      <c r="G77" s="10" t="n"/>
      <c r="H77" s="9" t="n"/>
      <c r="I77" s="9" t="n"/>
      <c r="K77" s="14">
        <f>IF($C77="","",IFERROR(LOOKUP(2,1/($C$4:$C76=$C77),$L$4:$L76),0))</f>
        <v/>
      </c>
      <c r="L77" s="14">
        <f>IF($C77="","",IF($D77="매수",$K77+$E77,MAX(0,$K77-$E77)))</f>
        <v/>
      </c>
      <c r="M77" s="15">
        <f>IF($C77="","",IFERROR(LOOKUP(2,1/($C$4:$C76=$C77),$N$4:$N76),0))</f>
        <v/>
      </c>
      <c r="N77" s="15">
        <f>IF($C77="","",IF($D77="매수",$M77+$E77*$F77+$G77,$M77-IF($K77=0,0,$M77/$K77)*MIN($E77,$K77)))</f>
        <v/>
      </c>
      <c r="O77" s="14">
        <f>IF($C77="","",IF($L77=0,0,$N77/$L77))</f>
        <v/>
      </c>
      <c r="P77" s="15">
        <f>IF($C77="","",IF($D77="매수",0,MIN($E77,$K77)*$F77-IF($K77=0,0,$M77/$K77)*MIN($E77,$K77)-$G77))</f>
        <v/>
      </c>
    </row>
    <row r="78">
      <c r="A78" s="13" t="n"/>
      <c r="B78" s="9" t="n"/>
      <c r="C78" s="9" t="n"/>
      <c r="D78" s="9" t="n"/>
      <c r="E78" s="10" t="n"/>
      <c r="F78" s="10" t="n"/>
      <c r="G78" s="10" t="n"/>
      <c r="H78" s="9" t="n"/>
      <c r="I78" s="9" t="n"/>
      <c r="K78" s="14">
        <f>IF($C78="","",IFERROR(LOOKUP(2,1/($C$4:$C77=$C78),$L$4:$L77),0))</f>
        <v/>
      </c>
      <c r="L78" s="14">
        <f>IF($C78="","",IF($D78="매수",$K78+$E78,MAX(0,$K78-$E78)))</f>
        <v/>
      </c>
      <c r="M78" s="15">
        <f>IF($C78="","",IFERROR(LOOKUP(2,1/($C$4:$C77=$C78),$N$4:$N77),0))</f>
        <v/>
      </c>
      <c r="N78" s="15">
        <f>IF($C78="","",IF($D78="매수",$M78+$E78*$F78+$G78,$M78-IF($K78=0,0,$M78/$K78)*MIN($E78,$K78)))</f>
        <v/>
      </c>
      <c r="O78" s="14">
        <f>IF($C78="","",IF($L78=0,0,$N78/$L78))</f>
        <v/>
      </c>
      <c r="P78" s="15">
        <f>IF($C78="","",IF($D78="매수",0,MIN($E78,$K78)*$F78-IF($K78=0,0,$M78/$K78)*MIN($E78,$K78)-$G78))</f>
        <v/>
      </c>
    </row>
    <row r="79">
      <c r="A79" s="13" t="n"/>
      <c r="B79" s="9" t="n"/>
      <c r="C79" s="9" t="n"/>
      <c r="D79" s="9" t="n"/>
      <c r="E79" s="10" t="n"/>
      <c r="F79" s="10" t="n"/>
      <c r="G79" s="10" t="n"/>
      <c r="H79" s="9" t="n"/>
      <c r="I79" s="9" t="n"/>
      <c r="K79" s="14">
        <f>IF($C79="","",IFERROR(LOOKUP(2,1/($C$4:$C78=$C79),$L$4:$L78),0))</f>
        <v/>
      </c>
      <c r="L79" s="14">
        <f>IF($C79="","",IF($D79="매수",$K79+$E79,MAX(0,$K79-$E79)))</f>
        <v/>
      </c>
      <c r="M79" s="15">
        <f>IF($C79="","",IFERROR(LOOKUP(2,1/($C$4:$C78=$C79),$N$4:$N78),0))</f>
        <v/>
      </c>
      <c r="N79" s="15">
        <f>IF($C79="","",IF($D79="매수",$M79+$E79*$F79+$G79,$M79-IF($K79=0,0,$M79/$K79)*MIN($E79,$K79)))</f>
        <v/>
      </c>
      <c r="O79" s="14">
        <f>IF($C79="","",IF($L79=0,0,$N79/$L79))</f>
        <v/>
      </c>
      <c r="P79" s="15">
        <f>IF($C79="","",IF($D79="매수",0,MIN($E79,$K79)*$F79-IF($K79=0,0,$M79/$K79)*MIN($E79,$K79)-$G79))</f>
        <v/>
      </c>
    </row>
    <row r="80">
      <c r="A80" s="13" t="n"/>
      <c r="B80" s="9" t="n"/>
      <c r="C80" s="9" t="n"/>
      <c r="D80" s="9" t="n"/>
      <c r="E80" s="10" t="n"/>
      <c r="F80" s="10" t="n"/>
      <c r="G80" s="10" t="n"/>
      <c r="H80" s="9" t="n"/>
      <c r="I80" s="9" t="n"/>
      <c r="K80" s="14">
        <f>IF($C80="","",IFERROR(LOOKUP(2,1/($C$4:$C79=$C80),$L$4:$L79),0))</f>
        <v/>
      </c>
      <c r="L80" s="14">
        <f>IF($C80="","",IF($D80="매수",$K80+$E80,MAX(0,$K80-$E80)))</f>
        <v/>
      </c>
      <c r="M80" s="15">
        <f>IF($C80="","",IFERROR(LOOKUP(2,1/($C$4:$C79=$C80),$N$4:$N79),0))</f>
        <v/>
      </c>
      <c r="N80" s="15">
        <f>IF($C80="","",IF($D80="매수",$M80+$E80*$F80+$G80,$M80-IF($K80=0,0,$M80/$K80)*MIN($E80,$K80)))</f>
        <v/>
      </c>
      <c r="O80" s="14">
        <f>IF($C80="","",IF($L80=0,0,$N80/$L80))</f>
        <v/>
      </c>
      <c r="P80" s="15">
        <f>IF($C80="","",IF($D80="매수",0,MIN($E80,$K80)*$F80-IF($K80=0,0,$M80/$K80)*MIN($E80,$K80)-$G80))</f>
        <v/>
      </c>
    </row>
    <row r="81">
      <c r="A81" s="13" t="n"/>
      <c r="B81" s="9" t="n"/>
      <c r="C81" s="9" t="n"/>
      <c r="D81" s="9" t="n"/>
      <c r="E81" s="10" t="n"/>
      <c r="F81" s="10" t="n"/>
      <c r="G81" s="10" t="n"/>
      <c r="H81" s="9" t="n"/>
      <c r="I81" s="9" t="n"/>
      <c r="K81" s="14">
        <f>IF($C81="","",IFERROR(LOOKUP(2,1/($C$4:$C80=$C81),$L$4:$L80),0))</f>
        <v/>
      </c>
      <c r="L81" s="14">
        <f>IF($C81="","",IF($D81="매수",$K81+$E81,MAX(0,$K81-$E81)))</f>
        <v/>
      </c>
      <c r="M81" s="15">
        <f>IF($C81="","",IFERROR(LOOKUP(2,1/($C$4:$C80=$C81),$N$4:$N80),0))</f>
        <v/>
      </c>
      <c r="N81" s="15">
        <f>IF($C81="","",IF($D81="매수",$M81+$E81*$F81+$G81,$M81-IF($K81=0,0,$M81/$K81)*MIN($E81,$K81)))</f>
        <v/>
      </c>
      <c r="O81" s="14">
        <f>IF($C81="","",IF($L81=0,0,$N81/$L81))</f>
        <v/>
      </c>
      <c r="P81" s="15">
        <f>IF($C81="","",IF($D81="매수",0,MIN($E81,$K81)*$F81-IF($K81=0,0,$M81/$K81)*MIN($E81,$K81)-$G81))</f>
        <v/>
      </c>
    </row>
    <row r="82">
      <c r="A82" s="13" t="n"/>
      <c r="B82" s="9" t="n"/>
      <c r="C82" s="9" t="n"/>
      <c r="D82" s="9" t="n"/>
      <c r="E82" s="10" t="n"/>
      <c r="F82" s="10" t="n"/>
      <c r="G82" s="10" t="n"/>
      <c r="H82" s="9" t="n"/>
      <c r="I82" s="9" t="n"/>
      <c r="K82" s="14">
        <f>IF($C82="","",IFERROR(LOOKUP(2,1/($C$4:$C81=$C82),$L$4:$L81),0))</f>
        <v/>
      </c>
      <c r="L82" s="14">
        <f>IF($C82="","",IF($D82="매수",$K82+$E82,MAX(0,$K82-$E82)))</f>
        <v/>
      </c>
      <c r="M82" s="15">
        <f>IF($C82="","",IFERROR(LOOKUP(2,1/($C$4:$C81=$C82),$N$4:$N81),0))</f>
        <v/>
      </c>
      <c r="N82" s="15">
        <f>IF($C82="","",IF($D82="매수",$M82+$E82*$F82+$G82,$M82-IF($K82=0,0,$M82/$K82)*MIN($E82,$K82)))</f>
        <v/>
      </c>
      <c r="O82" s="14">
        <f>IF($C82="","",IF($L82=0,0,$N82/$L82))</f>
        <v/>
      </c>
      <c r="P82" s="15">
        <f>IF($C82="","",IF($D82="매수",0,MIN($E82,$K82)*$F82-IF($K82=0,0,$M82/$K82)*MIN($E82,$K82)-$G82))</f>
        <v/>
      </c>
    </row>
    <row r="83">
      <c r="A83" s="13" t="n"/>
      <c r="B83" s="9" t="n"/>
      <c r="C83" s="9" t="n"/>
      <c r="D83" s="9" t="n"/>
      <c r="E83" s="10" t="n"/>
      <c r="F83" s="10" t="n"/>
      <c r="G83" s="10" t="n"/>
      <c r="H83" s="9" t="n"/>
      <c r="I83" s="9" t="n"/>
      <c r="K83" s="14">
        <f>IF($C83="","",IFERROR(LOOKUP(2,1/($C$4:$C82=$C83),$L$4:$L82),0))</f>
        <v/>
      </c>
      <c r="L83" s="14">
        <f>IF($C83="","",IF($D83="매수",$K83+$E83,MAX(0,$K83-$E83)))</f>
        <v/>
      </c>
      <c r="M83" s="15">
        <f>IF($C83="","",IFERROR(LOOKUP(2,1/($C$4:$C82=$C83),$N$4:$N82),0))</f>
        <v/>
      </c>
      <c r="N83" s="15">
        <f>IF($C83="","",IF($D83="매수",$M83+$E83*$F83+$G83,$M83-IF($K83=0,0,$M83/$K83)*MIN($E83,$K83)))</f>
        <v/>
      </c>
      <c r="O83" s="14">
        <f>IF($C83="","",IF($L83=0,0,$N83/$L83))</f>
        <v/>
      </c>
      <c r="P83" s="15">
        <f>IF($C83="","",IF($D83="매수",0,MIN($E83,$K83)*$F83-IF($K83=0,0,$M83/$K83)*MIN($E83,$K83)-$G83))</f>
        <v/>
      </c>
    </row>
    <row r="84">
      <c r="A84" s="13" t="n"/>
      <c r="B84" s="9" t="n"/>
      <c r="C84" s="9" t="n"/>
      <c r="D84" s="9" t="n"/>
      <c r="E84" s="10" t="n"/>
      <c r="F84" s="10" t="n"/>
      <c r="G84" s="10" t="n"/>
      <c r="H84" s="9" t="n"/>
      <c r="I84" s="9" t="n"/>
      <c r="K84" s="14">
        <f>IF($C84="","",IFERROR(LOOKUP(2,1/($C$4:$C83=$C84),$L$4:$L83),0))</f>
        <v/>
      </c>
      <c r="L84" s="14">
        <f>IF($C84="","",IF($D84="매수",$K84+$E84,MAX(0,$K84-$E84)))</f>
        <v/>
      </c>
      <c r="M84" s="15">
        <f>IF($C84="","",IFERROR(LOOKUP(2,1/($C$4:$C83=$C84),$N$4:$N83),0))</f>
        <v/>
      </c>
      <c r="N84" s="15">
        <f>IF($C84="","",IF($D84="매수",$M84+$E84*$F84+$G84,$M84-IF($K84=0,0,$M84/$K84)*MIN($E84,$K84)))</f>
        <v/>
      </c>
      <c r="O84" s="14">
        <f>IF($C84="","",IF($L84=0,0,$N84/$L84))</f>
        <v/>
      </c>
      <c r="P84" s="15">
        <f>IF($C84="","",IF($D84="매수",0,MIN($E84,$K84)*$F84-IF($K84=0,0,$M84/$K84)*MIN($E84,$K84)-$G84))</f>
        <v/>
      </c>
    </row>
    <row r="85">
      <c r="A85" s="13" t="n"/>
      <c r="B85" s="9" t="n"/>
      <c r="C85" s="9" t="n"/>
      <c r="D85" s="9" t="n"/>
      <c r="E85" s="10" t="n"/>
      <c r="F85" s="10" t="n"/>
      <c r="G85" s="10" t="n"/>
      <c r="H85" s="9" t="n"/>
      <c r="I85" s="9" t="n"/>
      <c r="K85" s="14">
        <f>IF($C85="","",IFERROR(LOOKUP(2,1/($C$4:$C84=$C85),$L$4:$L84),0))</f>
        <v/>
      </c>
      <c r="L85" s="14">
        <f>IF($C85="","",IF($D85="매수",$K85+$E85,MAX(0,$K85-$E85)))</f>
        <v/>
      </c>
      <c r="M85" s="15">
        <f>IF($C85="","",IFERROR(LOOKUP(2,1/($C$4:$C84=$C85),$N$4:$N84),0))</f>
        <v/>
      </c>
      <c r="N85" s="15">
        <f>IF($C85="","",IF($D85="매수",$M85+$E85*$F85+$G85,$M85-IF($K85=0,0,$M85/$K85)*MIN($E85,$K85)))</f>
        <v/>
      </c>
      <c r="O85" s="14">
        <f>IF($C85="","",IF($L85=0,0,$N85/$L85))</f>
        <v/>
      </c>
      <c r="P85" s="15">
        <f>IF($C85="","",IF($D85="매수",0,MIN($E85,$K85)*$F85-IF($K85=0,0,$M85/$K85)*MIN($E85,$K85)-$G85))</f>
        <v/>
      </c>
    </row>
    <row r="86">
      <c r="A86" s="13" t="n"/>
      <c r="B86" s="9" t="n"/>
      <c r="C86" s="9" t="n"/>
      <c r="D86" s="9" t="n"/>
      <c r="E86" s="10" t="n"/>
      <c r="F86" s="10" t="n"/>
      <c r="G86" s="10" t="n"/>
      <c r="H86" s="9" t="n"/>
      <c r="I86" s="9" t="n"/>
      <c r="K86" s="14">
        <f>IF($C86="","",IFERROR(LOOKUP(2,1/($C$4:$C85=$C86),$L$4:$L85),0))</f>
        <v/>
      </c>
      <c r="L86" s="14">
        <f>IF($C86="","",IF($D86="매수",$K86+$E86,MAX(0,$K86-$E86)))</f>
        <v/>
      </c>
      <c r="M86" s="15">
        <f>IF($C86="","",IFERROR(LOOKUP(2,1/($C$4:$C85=$C86),$N$4:$N85),0))</f>
        <v/>
      </c>
      <c r="N86" s="15">
        <f>IF($C86="","",IF($D86="매수",$M86+$E86*$F86+$G86,$M86-IF($K86=0,0,$M86/$K86)*MIN($E86,$K86)))</f>
        <v/>
      </c>
      <c r="O86" s="14">
        <f>IF($C86="","",IF($L86=0,0,$N86/$L86))</f>
        <v/>
      </c>
      <c r="P86" s="15">
        <f>IF($C86="","",IF($D86="매수",0,MIN($E86,$K86)*$F86-IF($K86=0,0,$M86/$K86)*MIN($E86,$K86)-$G86))</f>
        <v/>
      </c>
    </row>
    <row r="87">
      <c r="A87" s="13" t="n"/>
      <c r="B87" s="9" t="n"/>
      <c r="C87" s="9" t="n"/>
      <c r="D87" s="9" t="n"/>
      <c r="E87" s="10" t="n"/>
      <c r="F87" s="10" t="n"/>
      <c r="G87" s="10" t="n"/>
      <c r="H87" s="9" t="n"/>
      <c r="I87" s="9" t="n"/>
      <c r="K87" s="14">
        <f>IF($C87="","",IFERROR(LOOKUP(2,1/($C$4:$C86=$C87),$L$4:$L86),0))</f>
        <v/>
      </c>
      <c r="L87" s="14">
        <f>IF($C87="","",IF($D87="매수",$K87+$E87,MAX(0,$K87-$E87)))</f>
        <v/>
      </c>
      <c r="M87" s="15">
        <f>IF($C87="","",IFERROR(LOOKUP(2,1/($C$4:$C86=$C87),$N$4:$N86),0))</f>
        <v/>
      </c>
      <c r="N87" s="15">
        <f>IF($C87="","",IF($D87="매수",$M87+$E87*$F87+$G87,$M87-IF($K87=0,0,$M87/$K87)*MIN($E87,$K87)))</f>
        <v/>
      </c>
      <c r="O87" s="14">
        <f>IF($C87="","",IF($L87=0,0,$N87/$L87))</f>
        <v/>
      </c>
      <c r="P87" s="15">
        <f>IF($C87="","",IF($D87="매수",0,MIN($E87,$K87)*$F87-IF($K87=0,0,$M87/$K87)*MIN($E87,$K87)-$G87))</f>
        <v/>
      </c>
    </row>
    <row r="88">
      <c r="A88" s="13" t="n"/>
      <c r="B88" s="9" t="n"/>
      <c r="C88" s="9" t="n"/>
      <c r="D88" s="9" t="n"/>
      <c r="E88" s="10" t="n"/>
      <c r="F88" s="10" t="n"/>
      <c r="G88" s="10" t="n"/>
      <c r="H88" s="9" t="n"/>
      <c r="I88" s="9" t="n"/>
      <c r="K88" s="14">
        <f>IF($C88="","",IFERROR(LOOKUP(2,1/($C$4:$C87=$C88),$L$4:$L87),0))</f>
        <v/>
      </c>
      <c r="L88" s="14">
        <f>IF($C88="","",IF($D88="매수",$K88+$E88,MAX(0,$K88-$E88)))</f>
        <v/>
      </c>
      <c r="M88" s="15">
        <f>IF($C88="","",IFERROR(LOOKUP(2,1/($C$4:$C87=$C88),$N$4:$N87),0))</f>
        <v/>
      </c>
      <c r="N88" s="15">
        <f>IF($C88="","",IF($D88="매수",$M88+$E88*$F88+$G88,$M88-IF($K88=0,0,$M88/$K88)*MIN($E88,$K88)))</f>
        <v/>
      </c>
      <c r="O88" s="14">
        <f>IF($C88="","",IF($L88=0,0,$N88/$L88))</f>
        <v/>
      </c>
      <c r="P88" s="15">
        <f>IF($C88="","",IF($D88="매수",0,MIN($E88,$K88)*$F88-IF($K88=0,0,$M88/$K88)*MIN($E88,$K88)-$G88))</f>
        <v/>
      </c>
    </row>
    <row r="89">
      <c r="A89" s="13" t="n"/>
      <c r="B89" s="9" t="n"/>
      <c r="C89" s="9" t="n"/>
      <c r="D89" s="9" t="n"/>
      <c r="E89" s="10" t="n"/>
      <c r="F89" s="10" t="n"/>
      <c r="G89" s="10" t="n"/>
      <c r="H89" s="9" t="n"/>
      <c r="I89" s="9" t="n"/>
      <c r="K89" s="14">
        <f>IF($C89="","",IFERROR(LOOKUP(2,1/($C$4:$C88=$C89),$L$4:$L88),0))</f>
        <v/>
      </c>
      <c r="L89" s="14">
        <f>IF($C89="","",IF($D89="매수",$K89+$E89,MAX(0,$K89-$E89)))</f>
        <v/>
      </c>
      <c r="M89" s="15">
        <f>IF($C89="","",IFERROR(LOOKUP(2,1/($C$4:$C88=$C89),$N$4:$N88),0))</f>
        <v/>
      </c>
      <c r="N89" s="15">
        <f>IF($C89="","",IF($D89="매수",$M89+$E89*$F89+$G89,$M89-IF($K89=0,0,$M89/$K89)*MIN($E89,$K89)))</f>
        <v/>
      </c>
      <c r="O89" s="14">
        <f>IF($C89="","",IF($L89=0,0,$N89/$L89))</f>
        <v/>
      </c>
      <c r="P89" s="15">
        <f>IF($C89="","",IF($D89="매수",0,MIN($E89,$K89)*$F89-IF($K89=0,0,$M89/$K89)*MIN($E89,$K89)-$G89))</f>
        <v/>
      </c>
    </row>
    <row r="90">
      <c r="A90" s="13" t="n"/>
      <c r="B90" s="9" t="n"/>
      <c r="C90" s="9" t="n"/>
      <c r="D90" s="9" t="n"/>
      <c r="E90" s="10" t="n"/>
      <c r="F90" s="10" t="n"/>
      <c r="G90" s="10" t="n"/>
      <c r="H90" s="9" t="n"/>
      <c r="I90" s="9" t="n"/>
      <c r="K90" s="14">
        <f>IF($C90="","",IFERROR(LOOKUP(2,1/($C$4:$C89=$C90),$L$4:$L89),0))</f>
        <v/>
      </c>
      <c r="L90" s="14">
        <f>IF($C90="","",IF($D90="매수",$K90+$E90,MAX(0,$K90-$E90)))</f>
        <v/>
      </c>
      <c r="M90" s="15">
        <f>IF($C90="","",IFERROR(LOOKUP(2,1/($C$4:$C89=$C90),$N$4:$N89),0))</f>
        <v/>
      </c>
      <c r="N90" s="15">
        <f>IF($C90="","",IF($D90="매수",$M90+$E90*$F90+$G90,$M90-IF($K90=0,0,$M90/$K90)*MIN($E90,$K90)))</f>
        <v/>
      </c>
      <c r="O90" s="14">
        <f>IF($C90="","",IF($L90=0,0,$N90/$L90))</f>
        <v/>
      </c>
      <c r="P90" s="15">
        <f>IF($C90="","",IF($D90="매수",0,MIN($E90,$K90)*$F90-IF($K90=0,0,$M90/$K90)*MIN($E90,$K90)-$G90))</f>
        <v/>
      </c>
    </row>
    <row r="91">
      <c r="A91" s="13" t="n"/>
      <c r="B91" s="9" t="n"/>
      <c r="C91" s="9" t="n"/>
      <c r="D91" s="9" t="n"/>
      <c r="E91" s="10" t="n"/>
      <c r="F91" s="10" t="n"/>
      <c r="G91" s="10" t="n"/>
      <c r="H91" s="9" t="n"/>
      <c r="I91" s="9" t="n"/>
      <c r="K91" s="14">
        <f>IF($C91="","",IFERROR(LOOKUP(2,1/($C$4:$C90=$C91),$L$4:$L90),0))</f>
        <v/>
      </c>
      <c r="L91" s="14">
        <f>IF($C91="","",IF($D91="매수",$K91+$E91,MAX(0,$K91-$E91)))</f>
        <v/>
      </c>
      <c r="M91" s="15">
        <f>IF($C91="","",IFERROR(LOOKUP(2,1/($C$4:$C90=$C91),$N$4:$N90),0))</f>
        <v/>
      </c>
      <c r="N91" s="15">
        <f>IF($C91="","",IF($D91="매수",$M91+$E91*$F91+$G91,$M91-IF($K91=0,0,$M91/$K91)*MIN($E91,$K91)))</f>
        <v/>
      </c>
      <c r="O91" s="14">
        <f>IF($C91="","",IF($L91=0,0,$N91/$L91))</f>
        <v/>
      </c>
      <c r="P91" s="15">
        <f>IF($C91="","",IF($D91="매수",0,MIN($E91,$K91)*$F91-IF($K91=0,0,$M91/$K91)*MIN($E91,$K91)-$G91))</f>
        <v/>
      </c>
    </row>
    <row r="92">
      <c r="A92" s="13" t="n"/>
      <c r="B92" s="9" t="n"/>
      <c r="C92" s="9" t="n"/>
      <c r="D92" s="9" t="n"/>
      <c r="E92" s="10" t="n"/>
      <c r="F92" s="10" t="n"/>
      <c r="G92" s="10" t="n"/>
      <c r="H92" s="9" t="n"/>
      <c r="I92" s="9" t="n"/>
      <c r="K92" s="14">
        <f>IF($C92="","",IFERROR(LOOKUP(2,1/($C$4:$C91=$C92),$L$4:$L91),0))</f>
        <v/>
      </c>
      <c r="L92" s="14">
        <f>IF($C92="","",IF($D92="매수",$K92+$E92,MAX(0,$K92-$E92)))</f>
        <v/>
      </c>
      <c r="M92" s="15">
        <f>IF($C92="","",IFERROR(LOOKUP(2,1/($C$4:$C91=$C92),$N$4:$N91),0))</f>
        <v/>
      </c>
      <c r="N92" s="15">
        <f>IF($C92="","",IF($D92="매수",$M92+$E92*$F92+$G92,$M92-IF($K92=0,0,$M92/$K92)*MIN($E92,$K92)))</f>
        <v/>
      </c>
      <c r="O92" s="14">
        <f>IF($C92="","",IF($L92=0,0,$N92/$L92))</f>
        <v/>
      </c>
      <c r="P92" s="15">
        <f>IF($C92="","",IF($D92="매수",0,MIN($E92,$K92)*$F92-IF($K92=0,0,$M92/$K92)*MIN($E92,$K92)-$G92))</f>
        <v/>
      </c>
    </row>
    <row r="93">
      <c r="A93" s="13" t="n"/>
      <c r="B93" s="9" t="n"/>
      <c r="C93" s="9" t="n"/>
      <c r="D93" s="9" t="n"/>
      <c r="E93" s="10" t="n"/>
      <c r="F93" s="10" t="n"/>
      <c r="G93" s="10" t="n"/>
      <c r="H93" s="9" t="n"/>
      <c r="I93" s="9" t="n"/>
      <c r="K93" s="14">
        <f>IF($C93="","",IFERROR(LOOKUP(2,1/($C$4:$C92=$C93),$L$4:$L92),0))</f>
        <v/>
      </c>
      <c r="L93" s="14">
        <f>IF($C93="","",IF($D93="매수",$K93+$E93,MAX(0,$K93-$E93)))</f>
        <v/>
      </c>
      <c r="M93" s="15">
        <f>IF($C93="","",IFERROR(LOOKUP(2,1/($C$4:$C92=$C93),$N$4:$N92),0))</f>
        <v/>
      </c>
      <c r="N93" s="15">
        <f>IF($C93="","",IF($D93="매수",$M93+$E93*$F93+$G93,$M93-IF($K93=0,0,$M93/$K93)*MIN($E93,$K93)))</f>
        <v/>
      </c>
      <c r="O93" s="14">
        <f>IF($C93="","",IF($L93=0,0,$N93/$L93))</f>
        <v/>
      </c>
      <c r="P93" s="15">
        <f>IF($C93="","",IF($D93="매수",0,MIN($E93,$K93)*$F93-IF($K93=0,0,$M93/$K93)*MIN($E93,$K93)-$G93))</f>
        <v/>
      </c>
    </row>
    <row r="94">
      <c r="A94" s="13" t="n"/>
      <c r="B94" s="9" t="n"/>
      <c r="C94" s="9" t="n"/>
      <c r="D94" s="9" t="n"/>
      <c r="E94" s="10" t="n"/>
      <c r="F94" s="10" t="n"/>
      <c r="G94" s="10" t="n"/>
      <c r="H94" s="9" t="n"/>
      <c r="I94" s="9" t="n"/>
      <c r="K94" s="14">
        <f>IF($C94="","",IFERROR(LOOKUP(2,1/($C$4:$C93=$C94),$L$4:$L93),0))</f>
        <v/>
      </c>
      <c r="L94" s="14">
        <f>IF($C94="","",IF($D94="매수",$K94+$E94,MAX(0,$K94-$E94)))</f>
        <v/>
      </c>
      <c r="M94" s="15">
        <f>IF($C94="","",IFERROR(LOOKUP(2,1/($C$4:$C93=$C94),$N$4:$N93),0))</f>
        <v/>
      </c>
      <c r="N94" s="15">
        <f>IF($C94="","",IF($D94="매수",$M94+$E94*$F94+$G94,$M94-IF($K94=0,0,$M94/$K94)*MIN($E94,$K94)))</f>
        <v/>
      </c>
      <c r="O94" s="14">
        <f>IF($C94="","",IF($L94=0,0,$N94/$L94))</f>
        <v/>
      </c>
      <c r="P94" s="15">
        <f>IF($C94="","",IF($D94="매수",0,MIN($E94,$K94)*$F94-IF($K94=0,0,$M94/$K94)*MIN($E94,$K94)-$G94))</f>
        <v/>
      </c>
    </row>
    <row r="95">
      <c r="A95" s="13" t="n"/>
      <c r="B95" s="9" t="n"/>
      <c r="C95" s="9" t="n"/>
      <c r="D95" s="9" t="n"/>
      <c r="E95" s="10" t="n"/>
      <c r="F95" s="10" t="n"/>
      <c r="G95" s="10" t="n"/>
      <c r="H95" s="9" t="n"/>
      <c r="I95" s="9" t="n"/>
      <c r="K95" s="14">
        <f>IF($C95="","",IFERROR(LOOKUP(2,1/($C$4:$C94=$C95),$L$4:$L94),0))</f>
        <v/>
      </c>
      <c r="L95" s="14">
        <f>IF($C95="","",IF($D95="매수",$K95+$E95,MAX(0,$K95-$E95)))</f>
        <v/>
      </c>
      <c r="M95" s="15">
        <f>IF($C95="","",IFERROR(LOOKUP(2,1/($C$4:$C94=$C95),$N$4:$N94),0))</f>
        <v/>
      </c>
      <c r="N95" s="15">
        <f>IF($C95="","",IF($D95="매수",$M95+$E95*$F95+$G95,$M95-IF($K95=0,0,$M95/$K95)*MIN($E95,$K95)))</f>
        <v/>
      </c>
      <c r="O95" s="14">
        <f>IF($C95="","",IF($L95=0,0,$N95/$L95))</f>
        <v/>
      </c>
      <c r="P95" s="15">
        <f>IF($C95="","",IF($D95="매수",0,MIN($E95,$K95)*$F95-IF($K95=0,0,$M95/$K95)*MIN($E95,$K95)-$G95))</f>
        <v/>
      </c>
    </row>
    <row r="96">
      <c r="A96" s="13" t="n"/>
      <c r="B96" s="9" t="n"/>
      <c r="C96" s="9" t="n"/>
      <c r="D96" s="9" t="n"/>
      <c r="E96" s="10" t="n"/>
      <c r="F96" s="10" t="n"/>
      <c r="G96" s="10" t="n"/>
      <c r="H96" s="9" t="n"/>
      <c r="I96" s="9" t="n"/>
      <c r="K96" s="14">
        <f>IF($C96="","",IFERROR(LOOKUP(2,1/($C$4:$C95=$C96),$L$4:$L95),0))</f>
        <v/>
      </c>
      <c r="L96" s="14">
        <f>IF($C96="","",IF($D96="매수",$K96+$E96,MAX(0,$K96-$E96)))</f>
        <v/>
      </c>
      <c r="M96" s="15">
        <f>IF($C96="","",IFERROR(LOOKUP(2,1/($C$4:$C95=$C96),$N$4:$N95),0))</f>
        <v/>
      </c>
      <c r="N96" s="15">
        <f>IF($C96="","",IF($D96="매수",$M96+$E96*$F96+$G96,$M96-IF($K96=0,0,$M96/$K96)*MIN($E96,$K96)))</f>
        <v/>
      </c>
      <c r="O96" s="14">
        <f>IF($C96="","",IF($L96=0,0,$N96/$L96))</f>
        <v/>
      </c>
      <c r="P96" s="15">
        <f>IF($C96="","",IF($D96="매수",0,MIN($E96,$K96)*$F96-IF($K96=0,0,$M96/$K96)*MIN($E96,$K96)-$G96))</f>
        <v/>
      </c>
    </row>
    <row r="97">
      <c r="A97" s="13" t="n"/>
      <c r="B97" s="9" t="n"/>
      <c r="C97" s="9" t="n"/>
      <c r="D97" s="9" t="n"/>
      <c r="E97" s="10" t="n"/>
      <c r="F97" s="10" t="n"/>
      <c r="G97" s="10" t="n"/>
      <c r="H97" s="9" t="n"/>
      <c r="I97" s="9" t="n"/>
      <c r="K97" s="14">
        <f>IF($C97="","",IFERROR(LOOKUP(2,1/($C$4:$C96=$C97),$L$4:$L96),0))</f>
        <v/>
      </c>
      <c r="L97" s="14">
        <f>IF($C97="","",IF($D97="매수",$K97+$E97,MAX(0,$K97-$E97)))</f>
        <v/>
      </c>
      <c r="M97" s="15">
        <f>IF($C97="","",IFERROR(LOOKUP(2,1/($C$4:$C96=$C97),$N$4:$N96),0))</f>
        <v/>
      </c>
      <c r="N97" s="15">
        <f>IF($C97="","",IF($D97="매수",$M97+$E97*$F97+$G97,$M97-IF($K97=0,0,$M97/$K97)*MIN($E97,$K97)))</f>
        <v/>
      </c>
      <c r="O97" s="14">
        <f>IF($C97="","",IF($L97=0,0,$N97/$L97))</f>
        <v/>
      </c>
      <c r="P97" s="15">
        <f>IF($C97="","",IF($D97="매수",0,MIN($E97,$K97)*$F97-IF($K97=0,0,$M97/$K97)*MIN($E97,$K97)-$G97))</f>
        <v/>
      </c>
    </row>
    <row r="98">
      <c r="A98" s="13" t="n"/>
      <c r="B98" s="9" t="n"/>
      <c r="C98" s="9" t="n"/>
      <c r="D98" s="9" t="n"/>
      <c r="E98" s="10" t="n"/>
      <c r="F98" s="10" t="n"/>
      <c r="G98" s="10" t="n"/>
      <c r="H98" s="9" t="n"/>
      <c r="I98" s="9" t="n"/>
      <c r="K98" s="14">
        <f>IF($C98="","",IFERROR(LOOKUP(2,1/($C$4:$C97=$C98),$L$4:$L97),0))</f>
        <v/>
      </c>
      <c r="L98" s="14">
        <f>IF($C98="","",IF($D98="매수",$K98+$E98,MAX(0,$K98-$E98)))</f>
        <v/>
      </c>
      <c r="M98" s="15">
        <f>IF($C98="","",IFERROR(LOOKUP(2,1/($C$4:$C97=$C98),$N$4:$N97),0))</f>
        <v/>
      </c>
      <c r="N98" s="15">
        <f>IF($C98="","",IF($D98="매수",$M98+$E98*$F98+$G98,$M98-IF($K98=0,0,$M98/$K98)*MIN($E98,$K98)))</f>
        <v/>
      </c>
      <c r="O98" s="14">
        <f>IF($C98="","",IF($L98=0,0,$N98/$L98))</f>
        <v/>
      </c>
      <c r="P98" s="15">
        <f>IF($C98="","",IF($D98="매수",0,MIN($E98,$K98)*$F98-IF($K98=0,0,$M98/$K98)*MIN($E98,$K98)-$G98))</f>
        <v/>
      </c>
    </row>
    <row r="99">
      <c r="A99" s="13" t="n"/>
      <c r="B99" s="9" t="n"/>
      <c r="C99" s="9" t="n"/>
      <c r="D99" s="9" t="n"/>
      <c r="E99" s="10" t="n"/>
      <c r="F99" s="10" t="n"/>
      <c r="G99" s="10" t="n"/>
      <c r="H99" s="9" t="n"/>
      <c r="I99" s="9" t="n"/>
      <c r="K99" s="14">
        <f>IF($C99="","",IFERROR(LOOKUP(2,1/($C$4:$C98=$C99),$L$4:$L98),0))</f>
        <v/>
      </c>
      <c r="L99" s="14">
        <f>IF($C99="","",IF($D99="매수",$K99+$E99,MAX(0,$K99-$E99)))</f>
        <v/>
      </c>
      <c r="M99" s="15">
        <f>IF($C99="","",IFERROR(LOOKUP(2,1/($C$4:$C98=$C99),$N$4:$N98),0))</f>
        <v/>
      </c>
      <c r="N99" s="15">
        <f>IF($C99="","",IF($D99="매수",$M99+$E99*$F99+$G99,$M99-IF($K99=0,0,$M99/$K99)*MIN($E99,$K99)))</f>
        <v/>
      </c>
      <c r="O99" s="14">
        <f>IF($C99="","",IF($L99=0,0,$N99/$L99))</f>
        <v/>
      </c>
      <c r="P99" s="15">
        <f>IF($C99="","",IF($D99="매수",0,MIN($E99,$K99)*$F99-IF($K99=0,0,$M99/$K99)*MIN($E99,$K99)-$G99))</f>
        <v/>
      </c>
    </row>
    <row r="100">
      <c r="A100" s="13" t="n"/>
      <c r="B100" s="9" t="n"/>
      <c r="C100" s="9" t="n"/>
      <c r="D100" s="9" t="n"/>
      <c r="E100" s="10" t="n"/>
      <c r="F100" s="10" t="n"/>
      <c r="G100" s="10" t="n"/>
      <c r="H100" s="9" t="n"/>
      <c r="I100" s="9" t="n"/>
      <c r="K100" s="14">
        <f>IF($C100="","",IFERROR(LOOKUP(2,1/($C$4:$C99=$C100),$L$4:$L99),0))</f>
        <v/>
      </c>
      <c r="L100" s="14">
        <f>IF($C100="","",IF($D100="매수",$K100+$E100,MAX(0,$K100-$E100)))</f>
        <v/>
      </c>
      <c r="M100" s="15">
        <f>IF($C100="","",IFERROR(LOOKUP(2,1/($C$4:$C99=$C100),$N$4:$N99),0))</f>
        <v/>
      </c>
      <c r="N100" s="15">
        <f>IF($C100="","",IF($D100="매수",$M100+$E100*$F100+$G100,$M100-IF($K100=0,0,$M100/$K100)*MIN($E100,$K100)))</f>
        <v/>
      </c>
      <c r="O100" s="14">
        <f>IF($C100="","",IF($L100=0,0,$N100/$L100))</f>
        <v/>
      </c>
      <c r="P100" s="15">
        <f>IF($C100="","",IF($D100="매수",0,MIN($E100,$K100)*$F100-IF($K100=0,0,$M100/$K100)*MIN($E100,$K100)-$G100))</f>
        <v/>
      </c>
    </row>
    <row r="101">
      <c r="A101" s="13" t="n"/>
      <c r="B101" s="9" t="n"/>
      <c r="C101" s="9" t="n"/>
      <c r="D101" s="9" t="n"/>
      <c r="E101" s="10" t="n"/>
      <c r="F101" s="10" t="n"/>
      <c r="G101" s="10" t="n"/>
      <c r="H101" s="9" t="n"/>
      <c r="I101" s="9" t="n"/>
      <c r="K101" s="14">
        <f>IF($C101="","",IFERROR(LOOKUP(2,1/($C$4:$C100=$C101),$L$4:$L100),0))</f>
        <v/>
      </c>
      <c r="L101" s="14">
        <f>IF($C101="","",IF($D101="매수",$K101+$E101,MAX(0,$K101-$E101)))</f>
        <v/>
      </c>
      <c r="M101" s="15">
        <f>IF($C101="","",IFERROR(LOOKUP(2,1/($C$4:$C100=$C101),$N$4:$N100),0))</f>
        <v/>
      </c>
      <c r="N101" s="15">
        <f>IF($C101="","",IF($D101="매수",$M101+$E101*$F101+$G101,$M101-IF($K101=0,0,$M101/$K101)*MIN($E101,$K101)))</f>
        <v/>
      </c>
      <c r="O101" s="14">
        <f>IF($C101="","",IF($L101=0,0,$N101/$L101))</f>
        <v/>
      </c>
      <c r="P101" s="15">
        <f>IF($C101="","",IF($D101="매수",0,MIN($E101,$K101)*$F101-IF($K101=0,0,$M101/$K101)*MIN($E101,$K101)-$G101))</f>
        <v/>
      </c>
    </row>
    <row r="102">
      <c r="A102" s="13" t="n"/>
      <c r="B102" s="9" t="n"/>
      <c r="C102" s="9" t="n"/>
      <c r="D102" s="9" t="n"/>
      <c r="E102" s="10" t="n"/>
      <c r="F102" s="10" t="n"/>
      <c r="G102" s="10" t="n"/>
      <c r="H102" s="9" t="n"/>
      <c r="I102" s="9" t="n"/>
      <c r="K102" s="14">
        <f>IF($C102="","",IFERROR(LOOKUP(2,1/($C$4:$C101=$C102),$L$4:$L101),0))</f>
        <v/>
      </c>
      <c r="L102" s="14">
        <f>IF($C102="","",IF($D102="매수",$K102+$E102,MAX(0,$K102-$E102)))</f>
        <v/>
      </c>
      <c r="M102" s="15">
        <f>IF($C102="","",IFERROR(LOOKUP(2,1/($C$4:$C101=$C102),$N$4:$N101),0))</f>
        <v/>
      </c>
      <c r="N102" s="15">
        <f>IF($C102="","",IF($D102="매수",$M102+$E102*$F102+$G102,$M102-IF($K102=0,0,$M102/$K102)*MIN($E102,$K102)))</f>
        <v/>
      </c>
      <c r="O102" s="14">
        <f>IF($C102="","",IF($L102=0,0,$N102/$L102))</f>
        <v/>
      </c>
      <c r="P102" s="15">
        <f>IF($C102="","",IF($D102="매수",0,MIN($E102,$K102)*$F102-IF($K102=0,0,$M102/$K102)*MIN($E102,$K102)-$G102))</f>
        <v/>
      </c>
    </row>
    <row r="103">
      <c r="A103" s="13" t="n"/>
      <c r="B103" s="9" t="n"/>
      <c r="C103" s="9" t="n"/>
      <c r="D103" s="9" t="n"/>
      <c r="E103" s="10" t="n"/>
      <c r="F103" s="10" t="n"/>
      <c r="G103" s="10" t="n"/>
      <c r="H103" s="9" t="n"/>
      <c r="I103" s="9" t="n"/>
      <c r="K103" s="14">
        <f>IF($C103="","",IFERROR(LOOKUP(2,1/($C$4:$C102=$C103),$L$4:$L102),0))</f>
        <v/>
      </c>
      <c r="L103" s="14">
        <f>IF($C103="","",IF($D103="매수",$K103+$E103,MAX(0,$K103-$E103)))</f>
        <v/>
      </c>
      <c r="M103" s="15">
        <f>IF($C103="","",IFERROR(LOOKUP(2,1/($C$4:$C102=$C103),$N$4:$N102),0))</f>
        <v/>
      </c>
      <c r="N103" s="15">
        <f>IF($C103="","",IF($D103="매수",$M103+$E103*$F103+$G103,$M103-IF($K103=0,0,$M103/$K103)*MIN($E103,$K103)))</f>
        <v/>
      </c>
      <c r="O103" s="14">
        <f>IF($C103="","",IF($L103=0,0,$N103/$L103))</f>
        <v/>
      </c>
      <c r="P103" s="15">
        <f>IF($C103="","",IF($D103="매수",0,MIN($E103,$K103)*$F103-IF($K103=0,0,$M103/$K103)*MIN($E103,$K103)-$G103))</f>
        <v/>
      </c>
    </row>
    <row r="104">
      <c r="A104" s="13" t="n"/>
      <c r="B104" s="9" t="n"/>
      <c r="C104" s="9" t="n"/>
      <c r="D104" s="9" t="n"/>
      <c r="E104" s="10" t="n"/>
      <c r="F104" s="10" t="n"/>
      <c r="G104" s="10" t="n"/>
      <c r="H104" s="9" t="n"/>
      <c r="I104" s="9" t="n"/>
      <c r="K104" s="14">
        <f>IF($C104="","",IFERROR(LOOKUP(2,1/($C$4:$C103=$C104),$L$4:$L103),0))</f>
        <v/>
      </c>
      <c r="L104" s="14">
        <f>IF($C104="","",IF($D104="매수",$K104+$E104,MAX(0,$K104-$E104)))</f>
        <v/>
      </c>
      <c r="M104" s="15">
        <f>IF($C104="","",IFERROR(LOOKUP(2,1/($C$4:$C103=$C104),$N$4:$N103),0))</f>
        <v/>
      </c>
      <c r="N104" s="15">
        <f>IF($C104="","",IF($D104="매수",$M104+$E104*$F104+$G104,$M104-IF($K104=0,0,$M104/$K104)*MIN($E104,$K104)))</f>
        <v/>
      </c>
      <c r="O104" s="14">
        <f>IF($C104="","",IF($L104=0,0,$N104/$L104))</f>
        <v/>
      </c>
      <c r="P104" s="15">
        <f>IF($C104="","",IF($D104="매수",0,MIN($E104,$K104)*$F104-IF($K104=0,0,$M104/$K104)*MIN($E104,$K104)-$G104))</f>
        <v/>
      </c>
    </row>
    <row r="105">
      <c r="A105" s="13" t="n"/>
      <c r="B105" s="9" t="n"/>
      <c r="C105" s="9" t="n"/>
      <c r="D105" s="9" t="n"/>
      <c r="E105" s="10" t="n"/>
      <c r="F105" s="10" t="n"/>
      <c r="G105" s="10" t="n"/>
      <c r="H105" s="9" t="n"/>
      <c r="I105" s="9" t="n"/>
      <c r="K105" s="14">
        <f>IF($C105="","",IFERROR(LOOKUP(2,1/($C$4:$C104=$C105),$L$4:$L104),0))</f>
        <v/>
      </c>
      <c r="L105" s="14">
        <f>IF($C105="","",IF($D105="매수",$K105+$E105,MAX(0,$K105-$E105)))</f>
        <v/>
      </c>
      <c r="M105" s="15">
        <f>IF($C105="","",IFERROR(LOOKUP(2,1/($C$4:$C104=$C105),$N$4:$N104),0))</f>
        <v/>
      </c>
      <c r="N105" s="15">
        <f>IF($C105="","",IF($D105="매수",$M105+$E105*$F105+$G105,$M105-IF($K105=0,0,$M105/$K105)*MIN($E105,$K105)))</f>
        <v/>
      </c>
      <c r="O105" s="14">
        <f>IF($C105="","",IF($L105=0,0,$N105/$L105))</f>
        <v/>
      </c>
      <c r="P105" s="15">
        <f>IF($C105="","",IF($D105="매수",0,MIN($E105,$K105)*$F105-IF($K105=0,0,$M105/$K105)*MIN($E105,$K105)-$G105))</f>
        <v/>
      </c>
    </row>
    <row r="106">
      <c r="A106" s="13" t="n"/>
      <c r="B106" s="9" t="n"/>
      <c r="C106" s="9" t="n"/>
      <c r="D106" s="9" t="n"/>
      <c r="E106" s="10" t="n"/>
      <c r="F106" s="10" t="n"/>
      <c r="G106" s="10" t="n"/>
      <c r="H106" s="9" t="n"/>
      <c r="I106" s="9" t="n"/>
      <c r="K106" s="14">
        <f>IF($C106="","",IFERROR(LOOKUP(2,1/($C$4:$C105=$C106),$L$4:$L105),0))</f>
        <v/>
      </c>
      <c r="L106" s="14">
        <f>IF($C106="","",IF($D106="매수",$K106+$E106,MAX(0,$K106-$E106)))</f>
        <v/>
      </c>
      <c r="M106" s="15">
        <f>IF($C106="","",IFERROR(LOOKUP(2,1/($C$4:$C105=$C106),$N$4:$N105),0))</f>
        <v/>
      </c>
      <c r="N106" s="15">
        <f>IF($C106="","",IF($D106="매수",$M106+$E106*$F106+$G106,$M106-IF($K106=0,0,$M106/$K106)*MIN($E106,$K106)))</f>
        <v/>
      </c>
      <c r="O106" s="14">
        <f>IF($C106="","",IF($L106=0,0,$N106/$L106))</f>
        <v/>
      </c>
      <c r="P106" s="15">
        <f>IF($C106="","",IF($D106="매수",0,MIN($E106,$K106)*$F106-IF($K106=0,0,$M106/$K106)*MIN($E106,$K106)-$G106))</f>
        <v/>
      </c>
    </row>
    <row r="107">
      <c r="A107" s="13" t="n"/>
      <c r="B107" s="9" t="n"/>
      <c r="C107" s="9" t="n"/>
      <c r="D107" s="9" t="n"/>
      <c r="E107" s="10" t="n"/>
      <c r="F107" s="10" t="n"/>
      <c r="G107" s="10" t="n"/>
      <c r="H107" s="9" t="n"/>
      <c r="I107" s="9" t="n"/>
      <c r="K107" s="14">
        <f>IF($C107="","",IFERROR(LOOKUP(2,1/($C$4:$C106=$C107),$L$4:$L106),0))</f>
        <v/>
      </c>
      <c r="L107" s="14">
        <f>IF($C107="","",IF($D107="매수",$K107+$E107,MAX(0,$K107-$E107)))</f>
        <v/>
      </c>
      <c r="M107" s="15">
        <f>IF($C107="","",IFERROR(LOOKUP(2,1/($C$4:$C106=$C107),$N$4:$N106),0))</f>
        <v/>
      </c>
      <c r="N107" s="15">
        <f>IF($C107="","",IF($D107="매수",$M107+$E107*$F107+$G107,$M107-IF($K107=0,0,$M107/$K107)*MIN($E107,$K107)))</f>
        <v/>
      </c>
      <c r="O107" s="14">
        <f>IF($C107="","",IF($L107=0,0,$N107/$L107))</f>
        <v/>
      </c>
      <c r="P107" s="15">
        <f>IF($C107="","",IF($D107="매수",0,MIN($E107,$K107)*$F107-IF($K107=0,0,$M107/$K107)*MIN($E107,$K107)-$G107))</f>
        <v/>
      </c>
    </row>
    <row r="108">
      <c r="A108" s="13" t="n"/>
      <c r="B108" s="9" t="n"/>
      <c r="C108" s="9" t="n"/>
      <c r="D108" s="9" t="n"/>
      <c r="E108" s="10" t="n"/>
      <c r="F108" s="10" t="n"/>
      <c r="G108" s="10" t="n"/>
      <c r="H108" s="9" t="n"/>
      <c r="I108" s="9" t="n"/>
      <c r="K108" s="14">
        <f>IF($C108="","",IFERROR(LOOKUP(2,1/($C$4:$C107=$C108),$L$4:$L107),0))</f>
        <v/>
      </c>
      <c r="L108" s="14">
        <f>IF($C108="","",IF($D108="매수",$K108+$E108,MAX(0,$K108-$E108)))</f>
        <v/>
      </c>
      <c r="M108" s="15">
        <f>IF($C108="","",IFERROR(LOOKUP(2,1/($C$4:$C107=$C108),$N$4:$N107),0))</f>
        <v/>
      </c>
      <c r="N108" s="15">
        <f>IF($C108="","",IF($D108="매수",$M108+$E108*$F108+$G108,$M108-IF($K108=0,0,$M108/$K108)*MIN($E108,$K108)))</f>
        <v/>
      </c>
      <c r="O108" s="14">
        <f>IF($C108="","",IF($L108=0,0,$N108/$L108))</f>
        <v/>
      </c>
      <c r="P108" s="15">
        <f>IF($C108="","",IF($D108="매수",0,MIN($E108,$K108)*$F108-IF($K108=0,0,$M108/$K108)*MIN($E108,$K108)-$G108))</f>
        <v/>
      </c>
    </row>
    <row r="109">
      <c r="A109" s="13" t="n"/>
      <c r="B109" s="9" t="n"/>
      <c r="C109" s="9" t="n"/>
      <c r="D109" s="9" t="n"/>
      <c r="E109" s="10" t="n"/>
      <c r="F109" s="10" t="n"/>
      <c r="G109" s="10" t="n"/>
      <c r="H109" s="9" t="n"/>
      <c r="I109" s="9" t="n"/>
      <c r="K109" s="14">
        <f>IF($C109="","",IFERROR(LOOKUP(2,1/($C$4:$C108=$C109),$L$4:$L108),0))</f>
        <v/>
      </c>
      <c r="L109" s="14">
        <f>IF($C109="","",IF($D109="매수",$K109+$E109,MAX(0,$K109-$E109)))</f>
        <v/>
      </c>
      <c r="M109" s="15">
        <f>IF($C109="","",IFERROR(LOOKUP(2,1/($C$4:$C108=$C109),$N$4:$N108),0))</f>
        <v/>
      </c>
      <c r="N109" s="15">
        <f>IF($C109="","",IF($D109="매수",$M109+$E109*$F109+$G109,$M109-IF($K109=0,0,$M109/$K109)*MIN($E109,$K109)))</f>
        <v/>
      </c>
      <c r="O109" s="14">
        <f>IF($C109="","",IF($L109=0,0,$N109/$L109))</f>
        <v/>
      </c>
      <c r="P109" s="15">
        <f>IF($C109="","",IF($D109="매수",0,MIN($E109,$K109)*$F109-IF($K109=0,0,$M109/$K109)*MIN($E109,$K109)-$G109))</f>
        <v/>
      </c>
    </row>
    <row r="110">
      <c r="A110" s="13" t="n"/>
      <c r="B110" s="9" t="n"/>
      <c r="C110" s="9" t="n"/>
      <c r="D110" s="9" t="n"/>
      <c r="E110" s="10" t="n"/>
      <c r="F110" s="10" t="n"/>
      <c r="G110" s="10" t="n"/>
      <c r="H110" s="9" t="n"/>
      <c r="I110" s="9" t="n"/>
      <c r="K110" s="14">
        <f>IF($C110="","",IFERROR(LOOKUP(2,1/($C$4:$C109=$C110),$L$4:$L109),0))</f>
        <v/>
      </c>
      <c r="L110" s="14">
        <f>IF($C110="","",IF($D110="매수",$K110+$E110,MAX(0,$K110-$E110)))</f>
        <v/>
      </c>
      <c r="M110" s="15">
        <f>IF($C110="","",IFERROR(LOOKUP(2,1/($C$4:$C109=$C110),$N$4:$N109),0))</f>
        <v/>
      </c>
      <c r="N110" s="15">
        <f>IF($C110="","",IF($D110="매수",$M110+$E110*$F110+$G110,$M110-IF($K110=0,0,$M110/$K110)*MIN($E110,$K110)))</f>
        <v/>
      </c>
      <c r="O110" s="14">
        <f>IF($C110="","",IF($L110=0,0,$N110/$L110))</f>
        <v/>
      </c>
      <c r="P110" s="15">
        <f>IF($C110="","",IF($D110="매수",0,MIN($E110,$K110)*$F110-IF($K110=0,0,$M110/$K110)*MIN($E110,$K110)-$G110))</f>
        <v/>
      </c>
    </row>
    <row r="111">
      <c r="A111" s="13" t="n"/>
      <c r="B111" s="9" t="n"/>
      <c r="C111" s="9" t="n"/>
      <c r="D111" s="9" t="n"/>
      <c r="E111" s="10" t="n"/>
      <c r="F111" s="10" t="n"/>
      <c r="G111" s="10" t="n"/>
      <c r="H111" s="9" t="n"/>
      <c r="I111" s="9" t="n"/>
      <c r="K111" s="14">
        <f>IF($C111="","",IFERROR(LOOKUP(2,1/($C$4:$C110=$C111),$L$4:$L110),0))</f>
        <v/>
      </c>
      <c r="L111" s="14">
        <f>IF($C111="","",IF($D111="매수",$K111+$E111,MAX(0,$K111-$E111)))</f>
        <v/>
      </c>
      <c r="M111" s="15">
        <f>IF($C111="","",IFERROR(LOOKUP(2,1/($C$4:$C110=$C111),$N$4:$N110),0))</f>
        <v/>
      </c>
      <c r="N111" s="15">
        <f>IF($C111="","",IF($D111="매수",$M111+$E111*$F111+$G111,$M111-IF($K111=0,0,$M111/$K111)*MIN($E111,$K111)))</f>
        <v/>
      </c>
      <c r="O111" s="14">
        <f>IF($C111="","",IF($L111=0,0,$N111/$L111))</f>
        <v/>
      </c>
      <c r="P111" s="15">
        <f>IF($C111="","",IF($D111="매수",0,MIN($E111,$K111)*$F111-IF($K111=0,0,$M111/$K111)*MIN($E111,$K111)-$G111))</f>
        <v/>
      </c>
    </row>
    <row r="112">
      <c r="A112" s="13" t="n"/>
      <c r="B112" s="9" t="n"/>
      <c r="C112" s="9" t="n"/>
      <c r="D112" s="9" t="n"/>
      <c r="E112" s="10" t="n"/>
      <c r="F112" s="10" t="n"/>
      <c r="G112" s="10" t="n"/>
      <c r="H112" s="9" t="n"/>
      <c r="I112" s="9" t="n"/>
      <c r="K112" s="14">
        <f>IF($C112="","",IFERROR(LOOKUP(2,1/($C$4:$C111=$C112),$L$4:$L111),0))</f>
        <v/>
      </c>
      <c r="L112" s="14">
        <f>IF($C112="","",IF($D112="매수",$K112+$E112,MAX(0,$K112-$E112)))</f>
        <v/>
      </c>
      <c r="M112" s="15">
        <f>IF($C112="","",IFERROR(LOOKUP(2,1/($C$4:$C111=$C112),$N$4:$N111),0))</f>
        <v/>
      </c>
      <c r="N112" s="15">
        <f>IF($C112="","",IF($D112="매수",$M112+$E112*$F112+$G112,$M112-IF($K112=0,0,$M112/$K112)*MIN($E112,$K112)))</f>
        <v/>
      </c>
      <c r="O112" s="14">
        <f>IF($C112="","",IF($L112=0,0,$N112/$L112))</f>
        <v/>
      </c>
      <c r="P112" s="15">
        <f>IF($C112="","",IF($D112="매수",0,MIN($E112,$K112)*$F112-IF($K112=0,0,$M112/$K112)*MIN($E112,$K112)-$G112))</f>
        <v/>
      </c>
    </row>
    <row r="113">
      <c r="A113" s="13" t="n"/>
      <c r="B113" s="9" t="n"/>
      <c r="C113" s="9" t="n"/>
      <c r="D113" s="9" t="n"/>
      <c r="E113" s="10" t="n"/>
      <c r="F113" s="10" t="n"/>
      <c r="G113" s="10" t="n"/>
      <c r="H113" s="9" t="n"/>
      <c r="I113" s="9" t="n"/>
      <c r="K113" s="14">
        <f>IF($C113="","",IFERROR(LOOKUP(2,1/($C$4:$C112=$C113),$L$4:$L112),0))</f>
        <v/>
      </c>
      <c r="L113" s="14">
        <f>IF($C113="","",IF($D113="매수",$K113+$E113,MAX(0,$K113-$E113)))</f>
        <v/>
      </c>
      <c r="M113" s="15">
        <f>IF($C113="","",IFERROR(LOOKUP(2,1/($C$4:$C112=$C113),$N$4:$N112),0))</f>
        <v/>
      </c>
      <c r="N113" s="15">
        <f>IF($C113="","",IF($D113="매수",$M113+$E113*$F113+$G113,$M113-IF($K113=0,0,$M113/$K113)*MIN($E113,$K113)))</f>
        <v/>
      </c>
      <c r="O113" s="14">
        <f>IF($C113="","",IF($L113=0,0,$N113/$L113))</f>
        <v/>
      </c>
      <c r="P113" s="15">
        <f>IF($C113="","",IF($D113="매수",0,MIN($E113,$K113)*$F113-IF($K113=0,0,$M113/$K113)*MIN($E113,$K113)-$G113))</f>
        <v/>
      </c>
    </row>
    <row r="114">
      <c r="A114" s="13" t="n"/>
      <c r="B114" s="9" t="n"/>
      <c r="C114" s="9" t="n"/>
      <c r="D114" s="9" t="n"/>
      <c r="E114" s="10" t="n"/>
      <c r="F114" s="10" t="n"/>
      <c r="G114" s="10" t="n"/>
      <c r="H114" s="9" t="n"/>
      <c r="I114" s="9" t="n"/>
      <c r="K114" s="14">
        <f>IF($C114="","",IFERROR(LOOKUP(2,1/($C$4:$C113=$C114),$L$4:$L113),0))</f>
        <v/>
      </c>
      <c r="L114" s="14">
        <f>IF($C114="","",IF($D114="매수",$K114+$E114,MAX(0,$K114-$E114)))</f>
        <v/>
      </c>
      <c r="M114" s="15">
        <f>IF($C114="","",IFERROR(LOOKUP(2,1/($C$4:$C113=$C114),$N$4:$N113),0))</f>
        <v/>
      </c>
      <c r="N114" s="15">
        <f>IF($C114="","",IF($D114="매수",$M114+$E114*$F114+$G114,$M114-IF($K114=0,0,$M114/$K114)*MIN($E114,$K114)))</f>
        <v/>
      </c>
      <c r="O114" s="14">
        <f>IF($C114="","",IF($L114=0,0,$N114/$L114))</f>
        <v/>
      </c>
      <c r="P114" s="15">
        <f>IF($C114="","",IF($D114="매수",0,MIN($E114,$K114)*$F114-IF($K114=0,0,$M114/$K114)*MIN($E114,$K114)-$G114))</f>
        <v/>
      </c>
    </row>
    <row r="115">
      <c r="A115" s="13" t="n"/>
      <c r="B115" s="9" t="n"/>
      <c r="C115" s="9" t="n"/>
      <c r="D115" s="9" t="n"/>
      <c r="E115" s="10" t="n"/>
      <c r="F115" s="10" t="n"/>
      <c r="G115" s="10" t="n"/>
      <c r="H115" s="9" t="n"/>
      <c r="I115" s="9" t="n"/>
      <c r="K115" s="14">
        <f>IF($C115="","",IFERROR(LOOKUP(2,1/($C$4:$C114=$C115),$L$4:$L114),0))</f>
        <v/>
      </c>
      <c r="L115" s="14">
        <f>IF($C115="","",IF($D115="매수",$K115+$E115,MAX(0,$K115-$E115)))</f>
        <v/>
      </c>
      <c r="M115" s="15">
        <f>IF($C115="","",IFERROR(LOOKUP(2,1/($C$4:$C114=$C115),$N$4:$N114),0))</f>
        <v/>
      </c>
      <c r="N115" s="15">
        <f>IF($C115="","",IF($D115="매수",$M115+$E115*$F115+$G115,$M115-IF($K115=0,0,$M115/$K115)*MIN($E115,$K115)))</f>
        <v/>
      </c>
      <c r="O115" s="14">
        <f>IF($C115="","",IF($L115=0,0,$N115/$L115))</f>
        <v/>
      </c>
      <c r="P115" s="15">
        <f>IF($C115="","",IF($D115="매수",0,MIN($E115,$K115)*$F115-IF($K115=0,0,$M115/$K115)*MIN($E115,$K115)-$G115))</f>
        <v/>
      </c>
    </row>
    <row r="116">
      <c r="A116" s="13" t="n"/>
      <c r="B116" s="9" t="n"/>
      <c r="C116" s="9" t="n"/>
      <c r="D116" s="9" t="n"/>
      <c r="E116" s="10" t="n"/>
      <c r="F116" s="10" t="n"/>
      <c r="G116" s="10" t="n"/>
      <c r="H116" s="9" t="n"/>
      <c r="I116" s="9" t="n"/>
      <c r="K116" s="14">
        <f>IF($C116="","",IFERROR(LOOKUP(2,1/($C$4:$C115=$C116),$L$4:$L115),0))</f>
        <v/>
      </c>
      <c r="L116" s="14">
        <f>IF($C116="","",IF($D116="매수",$K116+$E116,MAX(0,$K116-$E116)))</f>
        <v/>
      </c>
      <c r="M116" s="15">
        <f>IF($C116="","",IFERROR(LOOKUP(2,1/($C$4:$C115=$C116),$N$4:$N115),0))</f>
        <v/>
      </c>
      <c r="N116" s="15">
        <f>IF($C116="","",IF($D116="매수",$M116+$E116*$F116+$G116,$M116-IF($K116=0,0,$M116/$K116)*MIN($E116,$K116)))</f>
        <v/>
      </c>
      <c r="O116" s="14">
        <f>IF($C116="","",IF($L116=0,0,$N116/$L116))</f>
        <v/>
      </c>
      <c r="P116" s="15">
        <f>IF($C116="","",IF($D116="매수",0,MIN($E116,$K116)*$F116-IF($K116=0,0,$M116/$K116)*MIN($E116,$K116)-$G116))</f>
        <v/>
      </c>
    </row>
    <row r="117">
      <c r="A117" s="13" t="n"/>
      <c r="B117" s="9" t="n"/>
      <c r="C117" s="9" t="n"/>
      <c r="D117" s="9" t="n"/>
      <c r="E117" s="10" t="n"/>
      <c r="F117" s="10" t="n"/>
      <c r="G117" s="10" t="n"/>
      <c r="H117" s="9" t="n"/>
      <c r="I117" s="9" t="n"/>
      <c r="K117" s="14">
        <f>IF($C117="","",IFERROR(LOOKUP(2,1/($C$4:$C116=$C117),$L$4:$L116),0))</f>
        <v/>
      </c>
      <c r="L117" s="14">
        <f>IF($C117="","",IF($D117="매수",$K117+$E117,MAX(0,$K117-$E117)))</f>
        <v/>
      </c>
      <c r="M117" s="15">
        <f>IF($C117="","",IFERROR(LOOKUP(2,1/($C$4:$C116=$C117),$N$4:$N116),0))</f>
        <v/>
      </c>
      <c r="N117" s="15">
        <f>IF($C117="","",IF($D117="매수",$M117+$E117*$F117+$G117,$M117-IF($K117=0,0,$M117/$K117)*MIN($E117,$K117)))</f>
        <v/>
      </c>
      <c r="O117" s="14">
        <f>IF($C117="","",IF($L117=0,0,$N117/$L117))</f>
        <v/>
      </c>
      <c r="P117" s="15">
        <f>IF($C117="","",IF($D117="매수",0,MIN($E117,$K117)*$F117-IF($K117=0,0,$M117/$K117)*MIN($E117,$K117)-$G117))</f>
        <v/>
      </c>
    </row>
    <row r="118">
      <c r="A118" s="13" t="n"/>
      <c r="B118" s="9" t="n"/>
      <c r="C118" s="9" t="n"/>
      <c r="D118" s="9" t="n"/>
      <c r="E118" s="10" t="n"/>
      <c r="F118" s="10" t="n"/>
      <c r="G118" s="10" t="n"/>
      <c r="H118" s="9" t="n"/>
      <c r="I118" s="9" t="n"/>
      <c r="K118" s="14">
        <f>IF($C118="","",IFERROR(LOOKUP(2,1/($C$4:$C117=$C118),$L$4:$L117),0))</f>
        <v/>
      </c>
      <c r="L118" s="14">
        <f>IF($C118="","",IF($D118="매수",$K118+$E118,MAX(0,$K118-$E118)))</f>
        <v/>
      </c>
      <c r="M118" s="15">
        <f>IF($C118="","",IFERROR(LOOKUP(2,1/($C$4:$C117=$C118),$N$4:$N117),0))</f>
        <v/>
      </c>
      <c r="N118" s="15">
        <f>IF($C118="","",IF($D118="매수",$M118+$E118*$F118+$G118,$M118-IF($K118=0,0,$M118/$K118)*MIN($E118,$K118)))</f>
        <v/>
      </c>
      <c r="O118" s="14">
        <f>IF($C118="","",IF($L118=0,0,$N118/$L118))</f>
        <v/>
      </c>
      <c r="P118" s="15">
        <f>IF($C118="","",IF($D118="매수",0,MIN($E118,$K118)*$F118-IF($K118=0,0,$M118/$K118)*MIN($E118,$K118)-$G118))</f>
        <v/>
      </c>
    </row>
    <row r="119">
      <c r="A119" s="13" t="n"/>
      <c r="B119" s="9" t="n"/>
      <c r="C119" s="9" t="n"/>
      <c r="D119" s="9" t="n"/>
      <c r="E119" s="10" t="n"/>
      <c r="F119" s="10" t="n"/>
      <c r="G119" s="10" t="n"/>
      <c r="H119" s="9" t="n"/>
      <c r="I119" s="9" t="n"/>
      <c r="K119" s="14">
        <f>IF($C119="","",IFERROR(LOOKUP(2,1/($C$4:$C118=$C119),$L$4:$L118),0))</f>
        <v/>
      </c>
      <c r="L119" s="14">
        <f>IF($C119="","",IF($D119="매수",$K119+$E119,MAX(0,$K119-$E119)))</f>
        <v/>
      </c>
      <c r="M119" s="15">
        <f>IF($C119="","",IFERROR(LOOKUP(2,1/($C$4:$C118=$C119),$N$4:$N118),0))</f>
        <v/>
      </c>
      <c r="N119" s="15">
        <f>IF($C119="","",IF($D119="매수",$M119+$E119*$F119+$G119,$M119-IF($K119=0,0,$M119/$K119)*MIN($E119,$K119)))</f>
        <v/>
      </c>
      <c r="O119" s="14">
        <f>IF($C119="","",IF($L119=0,0,$N119/$L119))</f>
        <v/>
      </c>
      <c r="P119" s="15">
        <f>IF($C119="","",IF($D119="매수",0,MIN($E119,$K119)*$F119-IF($K119=0,0,$M119/$K119)*MIN($E119,$K119)-$G119))</f>
        <v/>
      </c>
    </row>
    <row r="120">
      <c r="A120" s="13" t="n"/>
      <c r="B120" s="9" t="n"/>
      <c r="C120" s="9" t="n"/>
      <c r="D120" s="9" t="n"/>
      <c r="E120" s="10" t="n"/>
      <c r="F120" s="10" t="n"/>
      <c r="G120" s="10" t="n"/>
      <c r="H120" s="9" t="n"/>
      <c r="I120" s="9" t="n"/>
      <c r="K120" s="14">
        <f>IF($C120="","",IFERROR(LOOKUP(2,1/($C$4:$C119=$C120),$L$4:$L119),0))</f>
        <v/>
      </c>
      <c r="L120" s="14">
        <f>IF($C120="","",IF($D120="매수",$K120+$E120,MAX(0,$K120-$E120)))</f>
        <v/>
      </c>
      <c r="M120" s="15">
        <f>IF($C120="","",IFERROR(LOOKUP(2,1/($C$4:$C119=$C120),$N$4:$N119),0))</f>
        <v/>
      </c>
      <c r="N120" s="15">
        <f>IF($C120="","",IF($D120="매수",$M120+$E120*$F120+$G120,$M120-IF($K120=0,0,$M120/$K120)*MIN($E120,$K120)))</f>
        <v/>
      </c>
      <c r="O120" s="14">
        <f>IF($C120="","",IF($L120=0,0,$N120/$L120))</f>
        <v/>
      </c>
      <c r="P120" s="15">
        <f>IF($C120="","",IF($D120="매수",0,MIN($E120,$K120)*$F120-IF($K120=0,0,$M120/$K120)*MIN($E120,$K120)-$G120))</f>
        <v/>
      </c>
    </row>
    <row r="121">
      <c r="A121" s="13" t="n"/>
      <c r="B121" s="9" t="n"/>
      <c r="C121" s="9" t="n"/>
      <c r="D121" s="9" t="n"/>
      <c r="E121" s="10" t="n"/>
      <c r="F121" s="10" t="n"/>
      <c r="G121" s="10" t="n"/>
      <c r="H121" s="9" t="n"/>
      <c r="I121" s="9" t="n"/>
      <c r="K121" s="14">
        <f>IF($C121="","",IFERROR(LOOKUP(2,1/($C$4:$C120=$C121),$L$4:$L120),0))</f>
        <v/>
      </c>
      <c r="L121" s="14">
        <f>IF($C121="","",IF($D121="매수",$K121+$E121,MAX(0,$K121-$E121)))</f>
        <v/>
      </c>
      <c r="M121" s="15">
        <f>IF($C121="","",IFERROR(LOOKUP(2,1/($C$4:$C120=$C121),$N$4:$N120),0))</f>
        <v/>
      </c>
      <c r="N121" s="15">
        <f>IF($C121="","",IF($D121="매수",$M121+$E121*$F121+$G121,$M121-IF($K121=0,0,$M121/$K121)*MIN($E121,$K121)))</f>
        <v/>
      </c>
      <c r="O121" s="14">
        <f>IF($C121="","",IF($L121=0,0,$N121/$L121))</f>
        <v/>
      </c>
      <c r="P121" s="15">
        <f>IF($C121="","",IF($D121="매수",0,MIN($E121,$K121)*$F121-IF($K121=0,0,$M121/$K121)*MIN($E121,$K121)-$G121))</f>
        <v/>
      </c>
    </row>
    <row r="122">
      <c r="A122" s="13" t="n"/>
      <c r="B122" s="9" t="n"/>
      <c r="C122" s="9" t="n"/>
      <c r="D122" s="9" t="n"/>
      <c r="E122" s="10" t="n"/>
      <c r="F122" s="10" t="n"/>
      <c r="G122" s="10" t="n"/>
      <c r="H122" s="9" t="n"/>
      <c r="I122" s="9" t="n"/>
      <c r="K122" s="14">
        <f>IF($C122="","",IFERROR(LOOKUP(2,1/($C$4:$C121=$C122),$L$4:$L121),0))</f>
        <v/>
      </c>
      <c r="L122" s="14">
        <f>IF($C122="","",IF($D122="매수",$K122+$E122,MAX(0,$K122-$E122)))</f>
        <v/>
      </c>
      <c r="M122" s="15">
        <f>IF($C122="","",IFERROR(LOOKUP(2,1/($C$4:$C121=$C122),$N$4:$N121),0))</f>
        <v/>
      </c>
      <c r="N122" s="15">
        <f>IF($C122="","",IF($D122="매수",$M122+$E122*$F122+$G122,$M122-IF($K122=0,0,$M122/$K122)*MIN($E122,$K122)))</f>
        <v/>
      </c>
      <c r="O122" s="14">
        <f>IF($C122="","",IF($L122=0,0,$N122/$L122))</f>
        <v/>
      </c>
      <c r="P122" s="15">
        <f>IF($C122="","",IF($D122="매수",0,MIN($E122,$K122)*$F122-IF($K122=0,0,$M122/$K122)*MIN($E122,$K122)-$G122))</f>
        <v/>
      </c>
    </row>
    <row r="123">
      <c r="A123" s="13" t="n"/>
      <c r="B123" s="9" t="n"/>
      <c r="C123" s="9" t="n"/>
      <c r="D123" s="9" t="n"/>
      <c r="E123" s="10" t="n"/>
      <c r="F123" s="10" t="n"/>
      <c r="G123" s="10" t="n"/>
      <c r="H123" s="9" t="n"/>
      <c r="I123" s="9" t="n"/>
      <c r="K123" s="14">
        <f>IF($C123="","",IFERROR(LOOKUP(2,1/($C$4:$C122=$C123),$L$4:$L122),0))</f>
        <v/>
      </c>
      <c r="L123" s="14">
        <f>IF($C123="","",IF($D123="매수",$K123+$E123,MAX(0,$K123-$E123)))</f>
        <v/>
      </c>
      <c r="M123" s="15">
        <f>IF($C123="","",IFERROR(LOOKUP(2,1/($C$4:$C122=$C123),$N$4:$N122),0))</f>
        <v/>
      </c>
      <c r="N123" s="15">
        <f>IF($C123="","",IF($D123="매수",$M123+$E123*$F123+$G123,$M123-IF($K123=0,0,$M123/$K123)*MIN($E123,$K123)))</f>
        <v/>
      </c>
      <c r="O123" s="14">
        <f>IF($C123="","",IF($L123=0,0,$N123/$L123))</f>
        <v/>
      </c>
      <c r="P123" s="15">
        <f>IF($C123="","",IF($D123="매수",0,MIN($E123,$K123)*$F123-IF($K123=0,0,$M123/$K123)*MIN($E123,$K123)-$G123))</f>
        <v/>
      </c>
    </row>
    <row r="124">
      <c r="A124" s="13" t="n"/>
      <c r="B124" s="9" t="n"/>
      <c r="C124" s="9" t="n"/>
      <c r="D124" s="9" t="n"/>
      <c r="E124" s="10" t="n"/>
      <c r="F124" s="10" t="n"/>
      <c r="G124" s="10" t="n"/>
      <c r="H124" s="9" t="n"/>
      <c r="I124" s="9" t="n"/>
      <c r="K124" s="14">
        <f>IF($C124="","",IFERROR(LOOKUP(2,1/($C$4:$C123=$C124),$L$4:$L123),0))</f>
        <v/>
      </c>
      <c r="L124" s="14">
        <f>IF($C124="","",IF($D124="매수",$K124+$E124,MAX(0,$K124-$E124)))</f>
        <v/>
      </c>
      <c r="M124" s="15">
        <f>IF($C124="","",IFERROR(LOOKUP(2,1/($C$4:$C123=$C124),$N$4:$N123),0))</f>
        <v/>
      </c>
      <c r="N124" s="15">
        <f>IF($C124="","",IF($D124="매수",$M124+$E124*$F124+$G124,$M124-IF($K124=0,0,$M124/$K124)*MIN($E124,$K124)))</f>
        <v/>
      </c>
      <c r="O124" s="14">
        <f>IF($C124="","",IF($L124=0,0,$N124/$L124))</f>
        <v/>
      </c>
      <c r="P124" s="15">
        <f>IF($C124="","",IF($D124="매수",0,MIN($E124,$K124)*$F124-IF($K124=0,0,$M124/$K124)*MIN($E124,$K124)-$G124))</f>
        <v/>
      </c>
    </row>
    <row r="125">
      <c r="A125" s="13" t="n"/>
      <c r="B125" s="9" t="n"/>
      <c r="C125" s="9" t="n"/>
      <c r="D125" s="9" t="n"/>
      <c r="E125" s="10" t="n"/>
      <c r="F125" s="10" t="n"/>
      <c r="G125" s="10" t="n"/>
      <c r="H125" s="9" t="n"/>
      <c r="I125" s="9" t="n"/>
      <c r="K125" s="14">
        <f>IF($C125="","",IFERROR(LOOKUP(2,1/($C$4:$C124=$C125),$L$4:$L124),0))</f>
        <v/>
      </c>
      <c r="L125" s="14">
        <f>IF($C125="","",IF($D125="매수",$K125+$E125,MAX(0,$K125-$E125)))</f>
        <v/>
      </c>
      <c r="M125" s="15">
        <f>IF($C125="","",IFERROR(LOOKUP(2,1/($C$4:$C124=$C125),$N$4:$N124),0))</f>
        <v/>
      </c>
      <c r="N125" s="15">
        <f>IF($C125="","",IF($D125="매수",$M125+$E125*$F125+$G125,$M125-IF($K125=0,0,$M125/$K125)*MIN($E125,$K125)))</f>
        <v/>
      </c>
      <c r="O125" s="14">
        <f>IF($C125="","",IF($L125=0,0,$N125/$L125))</f>
        <v/>
      </c>
      <c r="P125" s="15">
        <f>IF($C125="","",IF($D125="매수",0,MIN($E125,$K125)*$F125-IF($K125=0,0,$M125/$K125)*MIN($E125,$K125)-$G125))</f>
        <v/>
      </c>
    </row>
    <row r="126">
      <c r="A126" s="13" t="n"/>
      <c r="B126" s="9" t="n"/>
      <c r="C126" s="9" t="n"/>
      <c r="D126" s="9" t="n"/>
      <c r="E126" s="10" t="n"/>
      <c r="F126" s="10" t="n"/>
      <c r="G126" s="10" t="n"/>
      <c r="H126" s="9" t="n"/>
      <c r="I126" s="9" t="n"/>
      <c r="K126" s="14">
        <f>IF($C126="","",IFERROR(LOOKUP(2,1/($C$4:$C125=$C126),$L$4:$L125),0))</f>
        <v/>
      </c>
      <c r="L126" s="14">
        <f>IF($C126="","",IF($D126="매수",$K126+$E126,MAX(0,$K126-$E126)))</f>
        <v/>
      </c>
      <c r="M126" s="15">
        <f>IF($C126="","",IFERROR(LOOKUP(2,1/($C$4:$C125=$C126),$N$4:$N125),0))</f>
        <v/>
      </c>
      <c r="N126" s="15">
        <f>IF($C126="","",IF($D126="매수",$M126+$E126*$F126+$G126,$M126-IF($K126=0,0,$M126/$K126)*MIN($E126,$K126)))</f>
        <v/>
      </c>
      <c r="O126" s="14">
        <f>IF($C126="","",IF($L126=0,0,$N126/$L126))</f>
        <v/>
      </c>
      <c r="P126" s="15">
        <f>IF($C126="","",IF($D126="매수",0,MIN($E126,$K126)*$F126-IF($K126=0,0,$M126/$K126)*MIN($E126,$K126)-$G126))</f>
        <v/>
      </c>
    </row>
    <row r="127">
      <c r="A127" s="13" t="n"/>
      <c r="B127" s="9" t="n"/>
      <c r="C127" s="9" t="n"/>
      <c r="D127" s="9" t="n"/>
      <c r="E127" s="10" t="n"/>
      <c r="F127" s="10" t="n"/>
      <c r="G127" s="10" t="n"/>
      <c r="H127" s="9" t="n"/>
      <c r="I127" s="9" t="n"/>
      <c r="K127" s="14">
        <f>IF($C127="","",IFERROR(LOOKUP(2,1/($C$4:$C126=$C127),$L$4:$L126),0))</f>
        <v/>
      </c>
      <c r="L127" s="14">
        <f>IF($C127="","",IF($D127="매수",$K127+$E127,MAX(0,$K127-$E127)))</f>
        <v/>
      </c>
      <c r="M127" s="15">
        <f>IF($C127="","",IFERROR(LOOKUP(2,1/($C$4:$C126=$C127),$N$4:$N126),0))</f>
        <v/>
      </c>
      <c r="N127" s="15">
        <f>IF($C127="","",IF($D127="매수",$M127+$E127*$F127+$G127,$M127-IF($K127=0,0,$M127/$K127)*MIN($E127,$K127)))</f>
        <v/>
      </c>
      <c r="O127" s="14">
        <f>IF($C127="","",IF($L127=0,0,$N127/$L127))</f>
        <v/>
      </c>
      <c r="P127" s="15">
        <f>IF($C127="","",IF($D127="매수",0,MIN($E127,$K127)*$F127-IF($K127=0,0,$M127/$K127)*MIN($E127,$K127)-$G127))</f>
        <v/>
      </c>
    </row>
    <row r="128">
      <c r="A128" s="13" t="n"/>
      <c r="B128" s="9" t="n"/>
      <c r="C128" s="9" t="n"/>
      <c r="D128" s="9" t="n"/>
      <c r="E128" s="10" t="n"/>
      <c r="F128" s="10" t="n"/>
      <c r="G128" s="10" t="n"/>
      <c r="H128" s="9" t="n"/>
      <c r="I128" s="9" t="n"/>
      <c r="K128" s="14">
        <f>IF($C128="","",IFERROR(LOOKUP(2,1/($C$4:$C127=$C128),$L$4:$L127),0))</f>
        <v/>
      </c>
      <c r="L128" s="14">
        <f>IF($C128="","",IF($D128="매수",$K128+$E128,MAX(0,$K128-$E128)))</f>
        <v/>
      </c>
      <c r="M128" s="15">
        <f>IF($C128="","",IFERROR(LOOKUP(2,1/($C$4:$C127=$C128),$N$4:$N127),0))</f>
        <v/>
      </c>
      <c r="N128" s="15">
        <f>IF($C128="","",IF($D128="매수",$M128+$E128*$F128+$G128,$M128-IF($K128=0,0,$M128/$K128)*MIN($E128,$K128)))</f>
        <v/>
      </c>
      <c r="O128" s="14">
        <f>IF($C128="","",IF($L128=0,0,$N128/$L128))</f>
        <v/>
      </c>
      <c r="P128" s="15">
        <f>IF($C128="","",IF($D128="매수",0,MIN($E128,$K128)*$F128-IF($K128=0,0,$M128/$K128)*MIN($E128,$K128)-$G128))</f>
        <v/>
      </c>
    </row>
    <row r="129">
      <c r="A129" s="13" t="n"/>
      <c r="B129" s="9" t="n"/>
      <c r="C129" s="9" t="n"/>
      <c r="D129" s="9" t="n"/>
      <c r="E129" s="10" t="n"/>
      <c r="F129" s="10" t="n"/>
      <c r="G129" s="10" t="n"/>
      <c r="H129" s="9" t="n"/>
      <c r="I129" s="9" t="n"/>
      <c r="K129" s="14">
        <f>IF($C129="","",IFERROR(LOOKUP(2,1/($C$4:$C128=$C129),$L$4:$L128),0))</f>
        <v/>
      </c>
      <c r="L129" s="14">
        <f>IF($C129="","",IF($D129="매수",$K129+$E129,MAX(0,$K129-$E129)))</f>
        <v/>
      </c>
      <c r="M129" s="15">
        <f>IF($C129="","",IFERROR(LOOKUP(2,1/($C$4:$C128=$C129),$N$4:$N128),0))</f>
        <v/>
      </c>
      <c r="N129" s="15">
        <f>IF($C129="","",IF($D129="매수",$M129+$E129*$F129+$G129,$M129-IF($K129=0,0,$M129/$K129)*MIN($E129,$K129)))</f>
        <v/>
      </c>
      <c r="O129" s="14">
        <f>IF($C129="","",IF($L129=0,0,$N129/$L129))</f>
        <v/>
      </c>
      <c r="P129" s="15">
        <f>IF($C129="","",IF($D129="매수",0,MIN($E129,$K129)*$F129-IF($K129=0,0,$M129/$K129)*MIN($E129,$K129)-$G129))</f>
        <v/>
      </c>
    </row>
    <row r="130">
      <c r="A130" s="13" t="n"/>
      <c r="B130" s="9" t="n"/>
      <c r="C130" s="9" t="n"/>
      <c r="D130" s="9" t="n"/>
      <c r="E130" s="10" t="n"/>
      <c r="F130" s="10" t="n"/>
      <c r="G130" s="10" t="n"/>
      <c r="H130" s="9" t="n"/>
      <c r="I130" s="9" t="n"/>
      <c r="K130" s="14">
        <f>IF($C130="","",IFERROR(LOOKUP(2,1/($C$4:$C129=$C130),$L$4:$L129),0))</f>
        <v/>
      </c>
      <c r="L130" s="14">
        <f>IF($C130="","",IF($D130="매수",$K130+$E130,MAX(0,$K130-$E130)))</f>
        <v/>
      </c>
      <c r="M130" s="15">
        <f>IF($C130="","",IFERROR(LOOKUP(2,1/($C$4:$C129=$C130),$N$4:$N129),0))</f>
        <v/>
      </c>
      <c r="N130" s="15">
        <f>IF($C130="","",IF($D130="매수",$M130+$E130*$F130+$G130,$M130-IF($K130=0,0,$M130/$K130)*MIN($E130,$K130)))</f>
        <v/>
      </c>
      <c r="O130" s="14">
        <f>IF($C130="","",IF($L130=0,0,$N130/$L130))</f>
        <v/>
      </c>
      <c r="P130" s="15">
        <f>IF($C130="","",IF($D130="매수",0,MIN($E130,$K130)*$F130-IF($K130=0,0,$M130/$K130)*MIN($E130,$K130)-$G130))</f>
        <v/>
      </c>
    </row>
    <row r="131">
      <c r="A131" s="13" t="n"/>
      <c r="B131" s="9" t="n"/>
      <c r="C131" s="9" t="n"/>
      <c r="D131" s="9" t="n"/>
      <c r="E131" s="10" t="n"/>
      <c r="F131" s="10" t="n"/>
      <c r="G131" s="10" t="n"/>
      <c r="H131" s="9" t="n"/>
      <c r="I131" s="9" t="n"/>
      <c r="K131" s="14">
        <f>IF($C131="","",IFERROR(LOOKUP(2,1/($C$4:$C130=$C131),$L$4:$L130),0))</f>
        <v/>
      </c>
      <c r="L131" s="14">
        <f>IF($C131="","",IF($D131="매수",$K131+$E131,MAX(0,$K131-$E131)))</f>
        <v/>
      </c>
      <c r="M131" s="15">
        <f>IF($C131="","",IFERROR(LOOKUP(2,1/($C$4:$C130=$C131),$N$4:$N130),0))</f>
        <v/>
      </c>
      <c r="N131" s="15">
        <f>IF($C131="","",IF($D131="매수",$M131+$E131*$F131+$G131,$M131-IF($K131=0,0,$M131/$K131)*MIN($E131,$K131)))</f>
        <v/>
      </c>
      <c r="O131" s="14">
        <f>IF($C131="","",IF($L131=0,0,$N131/$L131))</f>
        <v/>
      </c>
      <c r="P131" s="15">
        <f>IF($C131="","",IF($D131="매수",0,MIN($E131,$K131)*$F131-IF($K131=0,0,$M131/$K131)*MIN($E131,$K131)-$G131))</f>
        <v/>
      </c>
    </row>
    <row r="132">
      <c r="A132" s="13" t="n"/>
      <c r="B132" s="9" t="n"/>
      <c r="C132" s="9" t="n"/>
      <c r="D132" s="9" t="n"/>
      <c r="E132" s="10" t="n"/>
      <c r="F132" s="10" t="n"/>
      <c r="G132" s="10" t="n"/>
      <c r="H132" s="9" t="n"/>
      <c r="I132" s="9" t="n"/>
      <c r="K132" s="14">
        <f>IF($C132="","",IFERROR(LOOKUP(2,1/($C$4:$C131=$C132),$L$4:$L131),0))</f>
        <v/>
      </c>
      <c r="L132" s="14">
        <f>IF($C132="","",IF($D132="매수",$K132+$E132,MAX(0,$K132-$E132)))</f>
        <v/>
      </c>
      <c r="M132" s="15">
        <f>IF($C132="","",IFERROR(LOOKUP(2,1/($C$4:$C131=$C132),$N$4:$N131),0))</f>
        <v/>
      </c>
      <c r="N132" s="15">
        <f>IF($C132="","",IF($D132="매수",$M132+$E132*$F132+$G132,$M132-IF($K132=0,0,$M132/$K132)*MIN($E132,$K132)))</f>
        <v/>
      </c>
      <c r="O132" s="14">
        <f>IF($C132="","",IF($L132=0,0,$N132/$L132))</f>
        <v/>
      </c>
      <c r="P132" s="15">
        <f>IF($C132="","",IF($D132="매수",0,MIN($E132,$K132)*$F132-IF($K132=0,0,$M132/$K132)*MIN($E132,$K132)-$G132))</f>
        <v/>
      </c>
    </row>
    <row r="133">
      <c r="A133" s="13" t="n"/>
      <c r="B133" s="9" t="n"/>
      <c r="C133" s="9" t="n"/>
      <c r="D133" s="9" t="n"/>
      <c r="E133" s="10" t="n"/>
      <c r="F133" s="10" t="n"/>
      <c r="G133" s="10" t="n"/>
      <c r="H133" s="9" t="n"/>
      <c r="I133" s="9" t="n"/>
      <c r="K133" s="14">
        <f>IF($C133="","",IFERROR(LOOKUP(2,1/($C$4:$C132=$C133),$L$4:$L132),0))</f>
        <v/>
      </c>
      <c r="L133" s="14">
        <f>IF($C133="","",IF($D133="매수",$K133+$E133,MAX(0,$K133-$E133)))</f>
        <v/>
      </c>
      <c r="M133" s="15">
        <f>IF($C133="","",IFERROR(LOOKUP(2,1/($C$4:$C132=$C133),$N$4:$N132),0))</f>
        <v/>
      </c>
      <c r="N133" s="15">
        <f>IF($C133="","",IF($D133="매수",$M133+$E133*$F133+$G133,$M133-IF($K133=0,0,$M133/$K133)*MIN($E133,$K133)))</f>
        <v/>
      </c>
      <c r="O133" s="14">
        <f>IF($C133="","",IF($L133=0,0,$N133/$L133))</f>
        <v/>
      </c>
      <c r="P133" s="15">
        <f>IF($C133="","",IF($D133="매수",0,MIN($E133,$K133)*$F133-IF($K133=0,0,$M133/$K133)*MIN($E133,$K133)-$G133))</f>
        <v/>
      </c>
    </row>
    <row r="134">
      <c r="A134" s="13" t="n"/>
      <c r="B134" s="9" t="n"/>
      <c r="C134" s="9" t="n"/>
      <c r="D134" s="9" t="n"/>
      <c r="E134" s="10" t="n"/>
      <c r="F134" s="10" t="n"/>
      <c r="G134" s="10" t="n"/>
      <c r="H134" s="9" t="n"/>
      <c r="I134" s="9" t="n"/>
      <c r="K134" s="14">
        <f>IF($C134="","",IFERROR(LOOKUP(2,1/($C$4:$C133=$C134),$L$4:$L133),0))</f>
        <v/>
      </c>
      <c r="L134" s="14">
        <f>IF($C134="","",IF($D134="매수",$K134+$E134,MAX(0,$K134-$E134)))</f>
        <v/>
      </c>
      <c r="M134" s="15">
        <f>IF($C134="","",IFERROR(LOOKUP(2,1/($C$4:$C133=$C134),$N$4:$N133),0))</f>
        <v/>
      </c>
      <c r="N134" s="15">
        <f>IF($C134="","",IF($D134="매수",$M134+$E134*$F134+$G134,$M134-IF($K134=0,0,$M134/$K134)*MIN($E134,$K134)))</f>
        <v/>
      </c>
      <c r="O134" s="14">
        <f>IF($C134="","",IF($L134=0,0,$N134/$L134))</f>
        <v/>
      </c>
      <c r="P134" s="15">
        <f>IF($C134="","",IF($D134="매수",0,MIN($E134,$K134)*$F134-IF($K134=0,0,$M134/$K134)*MIN($E134,$K134)-$G134))</f>
        <v/>
      </c>
    </row>
    <row r="135">
      <c r="A135" s="13" t="n"/>
      <c r="B135" s="9" t="n"/>
      <c r="C135" s="9" t="n"/>
      <c r="D135" s="9" t="n"/>
      <c r="E135" s="10" t="n"/>
      <c r="F135" s="10" t="n"/>
      <c r="G135" s="10" t="n"/>
      <c r="H135" s="9" t="n"/>
      <c r="I135" s="9" t="n"/>
      <c r="K135" s="14">
        <f>IF($C135="","",IFERROR(LOOKUP(2,1/($C$4:$C134=$C135),$L$4:$L134),0))</f>
        <v/>
      </c>
      <c r="L135" s="14">
        <f>IF($C135="","",IF($D135="매수",$K135+$E135,MAX(0,$K135-$E135)))</f>
        <v/>
      </c>
      <c r="M135" s="15">
        <f>IF($C135="","",IFERROR(LOOKUP(2,1/($C$4:$C134=$C135),$N$4:$N134),0))</f>
        <v/>
      </c>
      <c r="N135" s="15">
        <f>IF($C135="","",IF($D135="매수",$M135+$E135*$F135+$G135,$M135-IF($K135=0,0,$M135/$K135)*MIN($E135,$K135)))</f>
        <v/>
      </c>
      <c r="O135" s="14">
        <f>IF($C135="","",IF($L135=0,0,$N135/$L135))</f>
        <v/>
      </c>
      <c r="P135" s="15">
        <f>IF($C135="","",IF($D135="매수",0,MIN($E135,$K135)*$F135-IF($K135=0,0,$M135/$K135)*MIN($E135,$K135)-$G135))</f>
        <v/>
      </c>
    </row>
    <row r="136">
      <c r="A136" s="13" t="n"/>
      <c r="B136" s="9" t="n"/>
      <c r="C136" s="9" t="n"/>
      <c r="D136" s="9" t="n"/>
      <c r="E136" s="10" t="n"/>
      <c r="F136" s="10" t="n"/>
      <c r="G136" s="10" t="n"/>
      <c r="H136" s="9" t="n"/>
      <c r="I136" s="9" t="n"/>
      <c r="K136" s="14">
        <f>IF($C136="","",IFERROR(LOOKUP(2,1/($C$4:$C135=$C136),$L$4:$L135),0))</f>
        <v/>
      </c>
      <c r="L136" s="14">
        <f>IF($C136="","",IF($D136="매수",$K136+$E136,MAX(0,$K136-$E136)))</f>
        <v/>
      </c>
      <c r="M136" s="15">
        <f>IF($C136="","",IFERROR(LOOKUP(2,1/($C$4:$C135=$C136),$N$4:$N135),0))</f>
        <v/>
      </c>
      <c r="N136" s="15">
        <f>IF($C136="","",IF($D136="매수",$M136+$E136*$F136+$G136,$M136-IF($K136=0,0,$M136/$K136)*MIN($E136,$K136)))</f>
        <v/>
      </c>
      <c r="O136" s="14">
        <f>IF($C136="","",IF($L136=0,0,$N136/$L136))</f>
        <v/>
      </c>
      <c r="P136" s="15">
        <f>IF($C136="","",IF($D136="매수",0,MIN($E136,$K136)*$F136-IF($K136=0,0,$M136/$K136)*MIN($E136,$K136)-$G136))</f>
        <v/>
      </c>
    </row>
    <row r="137">
      <c r="A137" s="13" t="n"/>
      <c r="B137" s="9" t="n"/>
      <c r="C137" s="9" t="n"/>
      <c r="D137" s="9" t="n"/>
      <c r="E137" s="10" t="n"/>
      <c r="F137" s="10" t="n"/>
      <c r="G137" s="10" t="n"/>
      <c r="H137" s="9" t="n"/>
      <c r="I137" s="9" t="n"/>
      <c r="K137" s="14">
        <f>IF($C137="","",IFERROR(LOOKUP(2,1/($C$4:$C136=$C137),$L$4:$L136),0))</f>
        <v/>
      </c>
      <c r="L137" s="14">
        <f>IF($C137="","",IF($D137="매수",$K137+$E137,MAX(0,$K137-$E137)))</f>
        <v/>
      </c>
      <c r="M137" s="15">
        <f>IF($C137="","",IFERROR(LOOKUP(2,1/($C$4:$C136=$C137),$N$4:$N136),0))</f>
        <v/>
      </c>
      <c r="N137" s="15">
        <f>IF($C137="","",IF($D137="매수",$M137+$E137*$F137+$G137,$M137-IF($K137=0,0,$M137/$K137)*MIN($E137,$K137)))</f>
        <v/>
      </c>
      <c r="O137" s="14">
        <f>IF($C137="","",IF($L137=0,0,$N137/$L137))</f>
        <v/>
      </c>
      <c r="P137" s="15">
        <f>IF($C137="","",IF($D137="매수",0,MIN($E137,$K137)*$F137-IF($K137=0,0,$M137/$K137)*MIN($E137,$K137)-$G137))</f>
        <v/>
      </c>
    </row>
    <row r="138">
      <c r="A138" s="13" t="n"/>
      <c r="B138" s="9" t="n"/>
      <c r="C138" s="9" t="n"/>
      <c r="D138" s="9" t="n"/>
      <c r="E138" s="10" t="n"/>
      <c r="F138" s="10" t="n"/>
      <c r="G138" s="10" t="n"/>
      <c r="H138" s="9" t="n"/>
      <c r="I138" s="9" t="n"/>
      <c r="K138" s="14">
        <f>IF($C138="","",IFERROR(LOOKUP(2,1/($C$4:$C137=$C138),$L$4:$L137),0))</f>
        <v/>
      </c>
      <c r="L138" s="14">
        <f>IF($C138="","",IF($D138="매수",$K138+$E138,MAX(0,$K138-$E138)))</f>
        <v/>
      </c>
      <c r="M138" s="15">
        <f>IF($C138="","",IFERROR(LOOKUP(2,1/($C$4:$C137=$C138),$N$4:$N137),0))</f>
        <v/>
      </c>
      <c r="N138" s="15">
        <f>IF($C138="","",IF($D138="매수",$M138+$E138*$F138+$G138,$M138-IF($K138=0,0,$M138/$K138)*MIN($E138,$K138)))</f>
        <v/>
      </c>
      <c r="O138" s="14">
        <f>IF($C138="","",IF($L138=0,0,$N138/$L138))</f>
        <v/>
      </c>
      <c r="P138" s="15">
        <f>IF($C138="","",IF($D138="매수",0,MIN($E138,$K138)*$F138-IF($K138=0,0,$M138/$K138)*MIN($E138,$K138)-$G138))</f>
        <v/>
      </c>
    </row>
    <row r="139">
      <c r="A139" s="13" t="n"/>
      <c r="B139" s="9" t="n"/>
      <c r="C139" s="9" t="n"/>
      <c r="D139" s="9" t="n"/>
      <c r="E139" s="10" t="n"/>
      <c r="F139" s="10" t="n"/>
      <c r="G139" s="10" t="n"/>
      <c r="H139" s="9" t="n"/>
      <c r="I139" s="9" t="n"/>
      <c r="K139" s="14">
        <f>IF($C139="","",IFERROR(LOOKUP(2,1/($C$4:$C138=$C139),$L$4:$L138),0))</f>
        <v/>
      </c>
      <c r="L139" s="14">
        <f>IF($C139="","",IF($D139="매수",$K139+$E139,MAX(0,$K139-$E139)))</f>
        <v/>
      </c>
      <c r="M139" s="15">
        <f>IF($C139="","",IFERROR(LOOKUP(2,1/($C$4:$C138=$C139),$N$4:$N138),0))</f>
        <v/>
      </c>
      <c r="N139" s="15">
        <f>IF($C139="","",IF($D139="매수",$M139+$E139*$F139+$G139,$M139-IF($K139=0,0,$M139/$K139)*MIN($E139,$K139)))</f>
        <v/>
      </c>
      <c r="O139" s="14">
        <f>IF($C139="","",IF($L139=0,0,$N139/$L139))</f>
        <v/>
      </c>
      <c r="P139" s="15">
        <f>IF($C139="","",IF($D139="매수",0,MIN($E139,$K139)*$F139-IF($K139=0,0,$M139/$K139)*MIN($E139,$K139)-$G139))</f>
        <v/>
      </c>
    </row>
    <row r="140">
      <c r="A140" s="13" t="n"/>
      <c r="B140" s="9" t="n"/>
      <c r="C140" s="9" t="n"/>
      <c r="D140" s="9" t="n"/>
      <c r="E140" s="10" t="n"/>
      <c r="F140" s="10" t="n"/>
      <c r="G140" s="10" t="n"/>
      <c r="H140" s="9" t="n"/>
      <c r="I140" s="9" t="n"/>
      <c r="K140" s="14">
        <f>IF($C140="","",IFERROR(LOOKUP(2,1/($C$4:$C139=$C140),$L$4:$L139),0))</f>
        <v/>
      </c>
      <c r="L140" s="14">
        <f>IF($C140="","",IF($D140="매수",$K140+$E140,MAX(0,$K140-$E140)))</f>
        <v/>
      </c>
      <c r="M140" s="15">
        <f>IF($C140="","",IFERROR(LOOKUP(2,1/($C$4:$C139=$C140),$N$4:$N139),0))</f>
        <v/>
      </c>
      <c r="N140" s="15">
        <f>IF($C140="","",IF($D140="매수",$M140+$E140*$F140+$G140,$M140-IF($K140=0,0,$M140/$K140)*MIN($E140,$K140)))</f>
        <v/>
      </c>
      <c r="O140" s="14">
        <f>IF($C140="","",IF($L140=0,0,$N140/$L140))</f>
        <v/>
      </c>
      <c r="P140" s="15">
        <f>IF($C140="","",IF($D140="매수",0,MIN($E140,$K140)*$F140-IF($K140=0,0,$M140/$K140)*MIN($E140,$K140)-$G140))</f>
        <v/>
      </c>
    </row>
    <row r="141">
      <c r="A141" s="13" t="n"/>
      <c r="B141" s="9" t="n"/>
      <c r="C141" s="9" t="n"/>
      <c r="D141" s="9" t="n"/>
      <c r="E141" s="10" t="n"/>
      <c r="F141" s="10" t="n"/>
      <c r="G141" s="10" t="n"/>
      <c r="H141" s="9" t="n"/>
      <c r="I141" s="9" t="n"/>
      <c r="K141" s="14">
        <f>IF($C141="","",IFERROR(LOOKUP(2,1/($C$4:$C140=$C141),$L$4:$L140),0))</f>
        <v/>
      </c>
      <c r="L141" s="14">
        <f>IF($C141="","",IF($D141="매수",$K141+$E141,MAX(0,$K141-$E141)))</f>
        <v/>
      </c>
      <c r="M141" s="15">
        <f>IF($C141="","",IFERROR(LOOKUP(2,1/($C$4:$C140=$C141),$N$4:$N140),0))</f>
        <v/>
      </c>
      <c r="N141" s="15">
        <f>IF($C141="","",IF($D141="매수",$M141+$E141*$F141+$G141,$M141-IF($K141=0,0,$M141/$K141)*MIN($E141,$K141)))</f>
        <v/>
      </c>
      <c r="O141" s="14">
        <f>IF($C141="","",IF($L141=0,0,$N141/$L141))</f>
        <v/>
      </c>
      <c r="P141" s="15">
        <f>IF($C141="","",IF($D141="매수",0,MIN($E141,$K141)*$F141-IF($K141=0,0,$M141/$K141)*MIN($E141,$K141)-$G141))</f>
        <v/>
      </c>
    </row>
    <row r="142">
      <c r="A142" s="13" t="n"/>
      <c r="B142" s="9" t="n"/>
      <c r="C142" s="9" t="n"/>
      <c r="D142" s="9" t="n"/>
      <c r="E142" s="10" t="n"/>
      <c r="F142" s="10" t="n"/>
      <c r="G142" s="10" t="n"/>
      <c r="H142" s="9" t="n"/>
      <c r="I142" s="9" t="n"/>
      <c r="K142" s="14">
        <f>IF($C142="","",IFERROR(LOOKUP(2,1/($C$4:$C141=$C142),$L$4:$L141),0))</f>
        <v/>
      </c>
      <c r="L142" s="14">
        <f>IF($C142="","",IF($D142="매수",$K142+$E142,MAX(0,$K142-$E142)))</f>
        <v/>
      </c>
      <c r="M142" s="15">
        <f>IF($C142="","",IFERROR(LOOKUP(2,1/($C$4:$C141=$C142),$N$4:$N141),0))</f>
        <v/>
      </c>
      <c r="N142" s="15">
        <f>IF($C142="","",IF($D142="매수",$M142+$E142*$F142+$G142,$M142-IF($K142=0,0,$M142/$K142)*MIN($E142,$K142)))</f>
        <v/>
      </c>
      <c r="O142" s="14">
        <f>IF($C142="","",IF($L142=0,0,$N142/$L142))</f>
        <v/>
      </c>
      <c r="P142" s="15">
        <f>IF($C142="","",IF($D142="매수",0,MIN($E142,$K142)*$F142-IF($K142=0,0,$M142/$K142)*MIN($E142,$K142)-$G142))</f>
        <v/>
      </c>
    </row>
    <row r="143">
      <c r="A143" s="13" t="n"/>
      <c r="B143" s="9" t="n"/>
      <c r="C143" s="9" t="n"/>
      <c r="D143" s="9" t="n"/>
      <c r="E143" s="10" t="n"/>
      <c r="F143" s="10" t="n"/>
      <c r="G143" s="10" t="n"/>
      <c r="H143" s="9" t="n"/>
      <c r="I143" s="9" t="n"/>
      <c r="K143" s="14">
        <f>IF($C143="","",IFERROR(LOOKUP(2,1/($C$4:$C142=$C143),$L$4:$L142),0))</f>
        <v/>
      </c>
      <c r="L143" s="14">
        <f>IF($C143="","",IF($D143="매수",$K143+$E143,MAX(0,$K143-$E143)))</f>
        <v/>
      </c>
      <c r="M143" s="15">
        <f>IF($C143="","",IFERROR(LOOKUP(2,1/($C$4:$C142=$C143),$N$4:$N142),0))</f>
        <v/>
      </c>
      <c r="N143" s="15">
        <f>IF($C143="","",IF($D143="매수",$M143+$E143*$F143+$G143,$M143-IF($K143=0,0,$M143/$K143)*MIN($E143,$K143)))</f>
        <v/>
      </c>
      <c r="O143" s="14">
        <f>IF($C143="","",IF($L143=0,0,$N143/$L143))</f>
        <v/>
      </c>
      <c r="P143" s="15">
        <f>IF($C143="","",IF($D143="매수",0,MIN($E143,$K143)*$F143-IF($K143=0,0,$M143/$K143)*MIN($E143,$K143)-$G143))</f>
        <v/>
      </c>
    </row>
    <row r="144">
      <c r="A144" s="13" t="n"/>
      <c r="B144" s="9" t="n"/>
      <c r="C144" s="9" t="n"/>
      <c r="D144" s="9" t="n"/>
      <c r="E144" s="10" t="n"/>
      <c r="F144" s="10" t="n"/>
      <c r="G144" s="10" t="n"/>
      <c r="H144" s="9" t="n"/>
      <c r="I144" s="9" t="n"/>
      <c r="K144" s="14">
        <f>IF($C144="","",IFERROR(LOOKUP(2,1/($C$4:$C143=$C144),$L$4:$L143),0))</f>
        <v/>
      </c>
      <c r="L144" s="14">
        <f>IF($C144="","",IF($D144="매수",$K144+$E144,MAX(0,$K144-$E144)))</f>
        <v/>
      </c>
      <c r="M144" s="15">
        <f>IF($C144="","",IFERROR(LOOKUP(2,1/($C$4:$C143=$C144),$N$4:$N143),0))</f>
        <v/>
      </c>
      <c r="N144" s="15">
        <f>IF($C144="","",IF($D144="매수",$M144+$E144*$F144+$G144,$M144-IF($K144=0,0,$M144/$K144)*MIN($E144,$K144)))</f>
        <v/>
      </c>
      <c r="O144" s="14">
        <f>IF($C144="","",IF($L144=0,0,$N144/$L144))</f>
        <v/>
      </c>
      <c r="P144" s="15">
        <f>IF($C144="","",IF($D144="매수",0,MIN($E144,$K144)*$F144-IF($K144=0,0,$M144/$K144)*MIN($E144,$K144)-$G144))</f>
        <v/>
      </c>
    </row>
    <row r="145">
      <c r="A145" s="13" t="n"/>
      <c r="B145" s="9" t="n"/>
      <c r="C145" s="9" t="n"/>
      <c r="D145" s="9" t="n"/>
      <c r="E145" s="10" t="n"/>
      <c r="F145" s="10" t="n"/>
      <c r="G145" s="10" t="n"/>
      <c r="H145" s="9" t="n"/>
      <c r="I145" s="9" t="n"/>
      <c r="K145" s="14">
        <f>IF($C145="","",IFERROR(LOOKUP(2,1/($C$4:$C144=$C145),$L$4:$L144),0))</f>
        <v/>
      </c>
      <c r="L145" s="14">
        <f>IF($C145="","",IF($D145="매수",$K145+$E145,MAX(0,$K145-$E145)))</f>
        <v/>
      </c>
      <c r="M145" s="15">
        <f>IF($C145="","",IFERROR(LOOKUP(2,1/($C$4:$C144=$C145),$N$4:$N144),0))</f>
        <v/>
      </c>
      <c r="N145" s="15">
        <f>IF($C145="","",IF($D145="매수",$M145+$E145*$F145+$G145,$M145-IF($K145=0,0,$M145/$K145)*MIN($E145,$K145)))</f>
        <v/>
      </c>
      <c r="O145" s="14">
        <f>IF($C145="","",IF($L145=0,0,$N145/$L145))</f>
        <v/>
      </c>
      <c r="P145" s="15">
        <f>IF($C145="","",IF($D145="매수",0,MIN($E145,$K145)*$F145-IF($K145=0,0,$M145/$K145)*MIN($E145,$K145)-$G145))</f>
        <v/>
      </c>
    </row>
    <row r="146">
      <c r="A146" s="13" t="n"/>
      <c r="B146" s="9" t="n"/>
      <c r="C146" s="9" t="n"/>
      <c r="D146" s="9" t="n"/>
      <c r="E146" s="10" t="n"/>
      <c r="F146" s="10" t="n"/>
      <c r="G146" s="10" t="n"/>
      <c r="H146" s="9" t="n"/>
      <c r="I146" s="9" t="n"/>
      <c r="K146" s="14">
        <f>IF($C146="","",IFERROR(LOOKUP(2,1/($C$4:$C145=$C146),$L$4:$L145),0))</f>
        <v/>
      </c>
      <c r="L146" s="14">
        <f>IF($C146="","",IF($D146="매수",$K146+$E146,MAX(0,$K146-$E146)))</f>
        <v/>
      </c>
      <c r="M146" s="15">
        <f>IF($C146="","",IFERROR(LOOKUP(2,1/($C$4:$C145=$C146),$N$4:$N145),0))</f>
        <v/>
      </c>
      <c r="N146" s="15">
        <f>IF($C146="","",IF($D146="매수",$M146+$E146*$F146+$G146,$M146-IF($K146=0,0,$M146/$K146)*MIN($E146,$K146)))</f>
        <v/>
      </c>
      <c r="O146" s="14">
        <f>IF($C146="","",IF($L146=0,0,$N146/$L146))</f>
        <v/>
      </c>
      <c r="P146" s="15">
        <f>IF($C146="","",IF($D146="매수",0,MIN($E146,$K146)*$F146-IF($K146=0,0,$M146/$K146)*MIN($E146,$K146)-$G146))</f>
        <v/>
      </c>
    </row>
    <row r="147">
      <c r="A147" s="13" t="n"/>
      <c r="B147" s="9" t="n"/>
      <c r="C147" s="9" t="n"/>
      <c r="D147" s="9" t="n"/>
      <c r="E147" s="10" t="n"/>
      <c r="F147" s="10" t="n"/>
      <c r="G147" s="10" t="n"/>
      <c r="H147" s="9" t="n"/>
      <c r="I147" s="9" t="n"/>
      <c r="K147" s="14">
        <f>IF($C147="","",IFERROR(LOOKUP(2,1/($C$4:$C146=$C147),$L$4:$L146),0))</f>
        <v/>
      </c>
      <c r="L147" s="14">
        <f>IF($C147="","",IF($D147="매수",$K147+$E147,MAX(0,$K147-$E147)))</f>
        <v/>
      </c>
      <c r="M147" s="15">
        <f>IF($C147="","",IFERROR(LOOKUP(2,1/($C$4:$C146=$C147),$N$4:$N146),0))</f>
        <v/>
      </c>
      <c r="N147" s="15">
        <f>IF($C147="","",IF($D147="매수",$M147+$E147*$F147+$G147,$M147-IF($K147=0,0,$M147/$K147)*MIN($E147,$K147)))</f>
        <v/>
      </c>
      <c r="O147" s="14">
        <f>IF($C147="","",IF($L147=0,0,$N147/$L147))</f>
        <v/>
      </c>
      <c r="P147" s="15">
        <f>IF($C147="","",IF($D147="매수",0,MIN($E147,$K147)*$F147-IF($K147=0,0,$M147/$K147)*MIN($E147,$K147)-$G147))</f>
        <v/>
      </c>
    </row>
    <row r="148">
      <c r="A148" s="13" t="n"/>
      <c r="B148" s="9" t="n"/>
      <c r="C148" s="9" t="n"/>
      <c r="D148" s="9" t="n"/>
      <c r="E148" s="10" t="n"/>
      <c r="F148" s="10" t="n"/>
      <c r="G148" s="10" t="n"/>
      <c r="H148" s="9" t="n"/>
      <c r="I148" s="9" t="n"/>
      <c r="K148" s="14">
        <f>IF($C148="","",IFERROR(LOOKUP(2,1/($C$4:$C147=$C148),$L$4:$L147),0))</f>
        <v/>
      </c>
      <c r="L148" s="14">
        <f>IF($C148="","",IF($D148="매수",$K148+$E148,MAX(0,$K148-$E148)))</f>
        <v/>
      </c>
      <c r="M148" s="15">
        <f>IF($C148="","",IFERROR(LOOKUP(2,1/($C$4:$C147=$C148),$N$4:$N147),0))</f>
        <v/>
      </c>
      <c r="N148" s="15">
        <f>IF($C148="","",IF($D148="매수",$M148+$E148*$F148+$G148,$M148-IF($K148=0,0,$M148/$K148)*MIN($E148,$K148)))</f>
        <v/>
      </c>
      <c r="O148" s="14">
        <f>IF($C148="","",IF($L148=0,0,$N148/$L148))</f>
        <v/>
      </c>
      <c r="P148" s="15">
        <f>IF($C148="","",IF($D148="매수",0,MIN($E148,$K148)*$F148-IF($K148=0,0,$M148/$K148)*MIN($E148,$K148)-$G148))</f>
        <v/>
      </c>
    </row>
    <row r="149">
      <c r="A149" s="13" t="n"/>
      <c r="B149" s="9" t="n"/>
      <c r="C149" s="9" t="n"/>
      <c r="D149" s="9" t="n"/>
      <c r="E149" s="10" t="n"/>
      <c r="F149" s="10" t="n"/>
      <c r="G149" s="10" t="n"/>
      <c r="H149" s="9" t="n"/>
      <c r="I149" s="9" t="n"/>
      <c r="K149" s="14">
        <f>IF($C149="","",IFERROR(LOOKUP(2,1/($C$4:$C148=$C149),$L$4:$L148),0))</f>
        <v/>
      </c>
      <c r="L149" s="14">
        <f>IF($C149="","",IF($D149="매수",$K149+$E149,MAX(0,$K149-$E149)))</f>
        <v/>
      </c>
      <c r="M149" s="15">
        <f>IF($C149="","",IFERROR(LOOKUP(2,1/($C$4:$C148=$C149),$N$4:$N148),0))</f>
        <v/>
      </c>
      <c r="N149" s="15">
        <f>IF($C149="","",IF($D149="매수",$M149+$E149*$F149+$G149,$M149-IF($K149=0,0,$M149/$K149)*MIN($E149,$K149)))</f>
        <v/>
      </c>
      <c r="O149" s="14">
        <f>IF($C149="","",IF($L149=0,0,$N149/$L149))</f>
        <v/>
      </c>
      <c r="P149" s="15">
        <f>IF($C149="","",IF($D149="매수",0,MIN($E149,$K149)*$F149-IF($K149=0,0,$M149/$K149)*MIN($E149,$K149)-$G149))</f>
        <v/>
      </c>
    </row>
    <row r="150">
      <c r="A150" s="13" t="n"/>
      <c r="B150" s="9" t="n"/>
      <c r="C150" s="9" t="n"/>
      <c r="D150" s="9" t="n"/>
      <c r="E150" s="10" t="n"/>
      <c r="F150" s="10" t="n"/>
      <c r="G150" s="10" t="n"/>
      <c r="H150" s="9" t="n"/>
      <c r="I150" s="9" t="n"/>
      <c r="K150" s="14">
        <f>IF($C150="","",IFERROR(LOOKUP(2,1/($C$4:$C149=$C150),$L$4:$L149),0))</f>
        <v/>
      </c>
      <c r="L150" s="14">
        <f>IF($C150="","",IF($D150="매수",$K150+$E150,MAX(0,$K150-$E150)))</f>
        <v/>
      </c>
      <c r="M150" s="15">
        <f>IF($C150="","",IFERROR(LOOKUP(2,1/($C$4:$C149=$C150),$N$4:$N149),0))</f>
        <v/>
      </c>
      <c r="N150" s="15">
        <f>IF($C150="","",IF($D150="매수",$M150+$E150*$F150+$G150,$M150-IF($K150=0,0,$M150/$K150)*MIN($E150,$K150)))</f>
        <v/>
      </c>
      <c r="O150" s="14">
        <f>IF($C150="","",IF($L150=0,0,$N150/$L150))</f>
        <v/>
      </c>
      <c r="P150" s="15">
        <f>IF($C150="","",IF($D150="매수",0,MIN($E150,$K150)*$F150-IF($K150=0,0,$M150/$K150)*MIN($E150,$K150)-$G150))</f>
        <v/>
      </c>
    </row>
    <row r="151">
      <c r="A151" s="13" t="n"/>
      <c r="B151" s="9" t="n"/>
      <c r="C151" s="9" t="n"/>
      <c r="D151" s="9" t="n"/>
      <c r="E151" s="10" t="n"/>
      <c r="F151" s="10" t="n"/>
      <c r="G151" s="10" t="n"/>
      <c r="H151" s="9" t="n"/>
      <c r="I151" s="9" t="n"/>
      <c r="K151" s="14">
        <f>IF($C151="","",IFERROR(LOOKUP(2,1/($C$4:$C150=$C151),$L$4:$L150),0))</f>
        <v/>
      </c>
      <c r="L151" s="14">
        <f>IF($C151="","",IF($D151="매수",$K151+$E151,MAX(0,$K151-$E151)))</f>
        <v/>
      </c>
      <c r="M151" s="15">
        <f>IF($C151="","",IFERROR(LOOKUP(2,1/($C$4:$C150=$C151),$N$4:$N150),0))</f>
        <v/>
      </c>
      <c r="N151" s="15">
        <f>IF($C151="","",IF($D151="매수",$M151+$E151*$F151+$G151,$M151-IF($K151=0,0,$M151/$K151)*MIN($E151,$K151)))</f>
        <v/>
      </c>
      <c r="O151" s="14">
        <f>IF($C151="","",IF($L151=0,0,$N151/$L151))</f>
        <v/>
      </c>
      <c r="P151" s="15">
        <f>IF($C151="","",IF($D151="매수",0,MIN($E151,$K151)*$F151-IF($K151=0,0,$M151/$K151)*MIN($E151,$K151)-$G151))</f>
        <v/>
      </c>
    </row>
    <row r="152">
      <c r="A152" s="13" t="n"/>
      <c r="B152" s="9" t="n"/>
      <c r="C152" s="9" t="n"/>
      <c r="D152" s="9" t="n"/>
      <c r="E152" s="10" t="n"/>
      <c r="F152" s="10" t="n"/>
      <c r="G152" s="10" t="n"/>
      <c r="H152" s="9" t="n"/>
      <c r="I152" s="9" t="n"/>
      <c r="K152" s="14">
        <f>IF($C152="","",IFERROR(LOOKUP(2,1/($C$4:$C151=$C152),$L$4:$L151),0))</f>
        <v/>
      </c>
      <c r="L152" s="14">
        <f>IF($C152="","",IF($D152="매수",$K152+$E152,MAX(0,$K152-$E152)))</f>
        <v/>
      </c>
      <c r="M152" s="15">
        <f>IF($C152="","",IFERROR(LOOKUP(2,1/($C$4:$C151=$C152),$N$4:$N151),0))</f>
        <v/>
      </c>
      <c r="N152" s="15">
        <f>IF($C152="","",IF($D152="매수",$M152+$E152*$F152+$G152,$M152-IF($K152=0,0,$M152/$K152)*MIN($E152,$K152)))</f>
        <v/>
      </c>
      <c r="O152" s="14">
        <f>IF($C152="","",IF($L152=0,0,$N152/$L152))</f>
        <v/>
      </c>
      <c r="P152" s="15">
        <f>IF($C152="","",IF($D152="매수",0,MIN($E152,$K152)*$F152-IF($K152=0,0,$M152/$K152)*MIN($E152,$K152)-$G152))</f>
        <v/>
      </c>
    </row>
    <row r="153">
      <c r="A153" s="13" t="n"/>
      <c r="B153" s="9" t="n"/>
      <c r="C153" s="9" t="n"/>
      <c r="D153" s="9" t="n"/>
      <c r="E153" s="10" t="n"/>
      <c r="F153" s="10" t="n"/>
      <c r="G153" s="10" t="n"/>
      <c r="H153" s="9" t="n"/>
      <c r="I153" s="9" t="n"/>
      <c r="K153" s="14">
        <f>IF($C153="","",IFERROR(LOOKUP(2,1/($C$4:$C152=$C153),$L$4:$L152),0))</f>
        <v/>
      </c>
      <c r="L153" s="14">
        <f>IF($C153="","",IF($D153="매수",$K153+$E153,MAX(0,$K153-$E153)))</f>
        <v/>
      </c>
      <c r="M153" s="15">
        <f>IF($C153="","",IFERROR(LOOKUP(2,1/($C$4:$C152=$C153),$N$4:$N152),0))</f>
        <v/>
      </c>
      <c r="N153" s="15">
        <f>IF($C153="","",IF($D153="매수",$M153+$E153*$F153+$G153,$M153-IF($K153=0,0,$M153/$K153)*MIN($E153,$K153)))</f>
        <v/>
      </c>
      <c r="O153" s="14">
        <f>IF($C153="","",IF($L153=0,0,$N153/$L153))</f>
        <v/>
      </c>
      <c r="P153" s="15">
        <f>IF($C153="","",IF($D153="매수",0,MIN($E153,$K153)*$F153-IF($K153=0,0,$M153/$K153)*MIN($E153,$K153)-$G153))</f>
        <v/>
      </c>
    </row>
    <row r="154">
      <c r="A154" s="13" t="n"/>
      <c r="B154" s="9" t="n"/>
      <c r="C154" s="9" t="n"/>
      <c r="D154" s="9" t="n"/>
      <c r="E154" s="10" t="n"/>
      <c r="F154" s="10" t="n"/>
      <c r="G154" s="10" t="n"/>
      <c r="H154" s="9" t="n"/>
      <c r="I154" s="9" t="n"/>
      <c r="K154" s="14">
        <f>IF($C154="","",IFERROR(LOOKUP(2,1/($C$4:$C153=$C154),$L$4:$L153),0))</f>
        <v/>
      </c>
      <c r="L154" s="14">
        <f>IF($C154="","",IF($D154="매수",$K154+$E154,MAX(0,$K154-$E154)))</f>
        <v/>
      </c>
      <c r="M154" s="15">
        <f>IF($C154="","",IFERROR(LOOKUP(2,1/($C$4:$C153=$C154),$N$4:$N153),0))</f>
        <v/>
      </c>
      <c r="N154" s="15">
        <f>IF($C154="","",IF($D154="매수",$M154+$E154*$F154+$G154,$M154-IF($K154=0,0,$M154/$K154)*MIN($E154,$K154)))</f>
        <v/>
      </c>
      <c r="O154" s="14">
        <f>IF($C154="","",IF($L154=0,0,$N154/$L154))</f>
        <v/>
      </c>
      <c r="P154" s="15">
        <f>IF($C154="","",IF($D154="매수",0,MIN($E154,$K154)*$F154-IF($K154=0,0,$M154/$K154)*MIN($E154,$K154)-$G154))</f>
        <v/>
      </c>
    </row>
    <row r="155">
      <c r="A155" s="13" t="n"/>
      <c r="B155" s="9" t="n"/>
      <c r="C155" s="9" t="n"/>
      <c r="D155" s="9" t="n"/>
      <c r="E155" s="10" t="n"/>
      <c r="F155" s="10" t="n"/>
      <c r="G155" s="10" t="n"/>
      <c r="H155" s="9" t="n"/>
      <c r="I155" s="9" t="n"/>
      <c r="K155" s="14">
        <f>IF($C155="","",IFERROR(LOOKUP(2,1/($C$4:$C154=$C155),$L$4:$L154),0))</f>
        <v/>
      </c>
      <c r="L155" s="14">
        <f>IF($C155="","",IF($D155="매수",$K155+$E155,MAX(0,$K155-$E155)))</f>
        <v/>
      </c>
      <c r="M155" s="15">
        <f>IF($C155="","",IFERROR(LOOKUP(2,1/($C$4:$C154=$C155),$N$4:$N154),0))</f>
        <v/>
      </c>
      <c r="N155" s="15">
        <f>IF($C155="","",IF($D155="매수",$M155+$E155*$F155+$G155,$M155-IF($K155=0,0,$M155/$K155)*MIN($E155,$K155)))</f>
        <v/>
      </c>
      <c r="O155" s="14">
        <f>IF($C155="","",IF($L155=0,0,$N155/$L155))</f>
        <v/>
      </c>
      <c r="P155" s="15">
        <f>IF($C155="","",IF($D155="매수",0,MIN($E155,$K155)*$F155-IF($K155=0,0,$M155/$K155)*MIN($E155,$K155)-$G155))</f>
        <v/>
      </c>
    </row>
    <row r="156">
      <c r="A156" s="13" t="n"/>
      <c r="B156" s="9" t="n"/>
      <c r="C156" s="9" t="n"/>
      <c r="D156" s="9" t="n"/>
      <c r="E156" s="10" t="n"/>
      <c r="F156" s="10" t="n"/>
      <c r="G156" s="10" t="n"/>
      <c r="H156" s="9" t="n"/>
      <c r="I156" s="9" t="n"/>
      <c r="K156" s="14">
        <f>IF($C156="","",IFERROR(LOOKUP(2,1/($C$4:$C155=$C156),$L$4:$L155),0))</f>
        <v/>
      </c>
      <c r="L156" s="14">
        <f>IF($C156="","",IF($D156="매수",$K156+$E156,MAX(0,$K156-$E156)))</f>
        <v/>
      </c>
      <c r="M156" s="15">
        <f>IF($C156="","",IFERROR(LOOKUP(2,1/($C$4:$C155=$C156),$N$4:$N155),0))</f>
        <v/>
      </c>
      <c r="N156" s="15">
        <f>IF($C156="","",IF($D156="매수",$M156+$E156*$F156+$G156,$M156-IF($K156=0,0,$M156/$K156)*MIN($E156,$K156)))</f>
        <v/>
      </c>
      <c r="O156" s="14">
        <f>IF($C156="","",IF($L156=0,0,$N156/$L156))</f>
        <v/>
      </c>
      <c r="P156" s="15">
        <f>IF($C156="","",IF($D156="매수",0,MIN($E156,$K156)*$F156-IF($K156=0,0,$M156/$K156)*MIN($E156,$K156)-$G156))</f>
        <v/>
      </c>
    </row>
    <row r="157">
      <c r="A157" s="13" t="n"/>
      <c r="B157" s="9" t="n"/>
      <c r="C157" s="9" t="n"/>
      <c r="D157" s="9" t="n"/>
      <c r="E157" s="10" t="n"/>
      <c r="F157" s="10" t="n"/>
      <c r="G157" s="10" t="n"/>
      <c r="H157" s="9" t="n"/>
      <c r="I157" s="9" t="n"/>
      <c r="K157" s="14">
        <f>IF($C157="","",IFERROR(LOOKUP(2,1/($C$4:$C156=$C157),$L$4:$L156),0))</f>
        <v/>
      </c>
      <c r="L157" s="14">
        <f>IF($C157="","",IF($D157="매수",$K157+$E157,MAX(0,$K157-$E157)))</f>
        <v/>
      </c>
      <c r="M157" s="15">
        <f>IF($C157="","",IFERROR(LOOKUP(2,1/($C$4:$C156=$C157),$N$4:$N156),0))</f>
        <v/>
      </c>
      <c r="N157" s="15">
        <f>IF($C157="","",IF($D157="매수",$M157+$E157*$F157+$G157,$M157-IF($K157=0,0,$M157/$K157)*MIN($E157,$K157)))</f>
        <v/>
      </c>
      <c r="O157" s="14">
        <f>IF($C157="","",IF($L157=0,0,$N157/$L157))</f>
        <v/>
      </c>
      <c r="P157" s="15">
        <f>IF($C157="","",IF($D157="매수",0,MIN($E157,$K157)*$F157-IF($K157=0,0,$M157/$K157)*MIN($E157,$K157)-$G157))</f>
        <v/>
      </c>
    </row>
    <row r="158">
      <c r="A158" s="13" t="n"/>
      <c r="B158" s="9" t="n"/>
      <c r="C158" s="9" t="n"/>
      <c r="D158" s="9" t="n"/>
      <c r="E158" s="10" t="n"/>
      <c r="F158" s="10" t="n"/>
      <c r="G158" s="10" t="n"/>
      <c r="H158" s="9" t="n"/>
      <c r="I158" s="9" t="n"/>
      <c r="K158" s="14">
        <f>IF($C158="","",IFERROR(LOOKUP(2,1/($C$4:$C157=$C158),$L$4:$L157),0))</f>
        <v/>
      </c>
      <c r="L158" s="14">
        <f>IF($C158="","",IF($D158="매수",$K158+$E158,MAX(0,$K158-$E158)))</f>
        <v/>
      </c>
      <c r="M158" s="15">
        <f>IF($C158="","",IFERROR(LOOKUP(2,1/($C$4:$C157=$C158),$N$4:$N157),0))</f>
        <v/>
      </c>
      <c r="N158" s="15">
        <f>IF($C158="","",IF($D158="매수",$M158+$E158*$F158+$G158,$M158-IF($K158=0,0,$M158/$K158)*MIN($E158,$K158)))</f>
        <v/>
      </c>
      <c r="O158" s="14">
        <f>IF($C158="","",IF($L158=0,0,$N158/$L158))</f>
        <v/>
      </c>
      <c r="P158" s="15">
        <f>IF($C158="","",IF($D158="매수",0,MIN($E158,$K158)*$F158-IF($K158=0,0,$M158/$K158)*MIN($E158,$K158)-$G158))</f>
        <v/>
      </c>
    </row>
    <row r="159">
      <c r="A159" s="13" t="n"/>
      <c r="B159" s="9" t="n"/>
      <c r="C159" s="9" t="n"/>
      <c r="D159" s="9" t="n"/>
      <c r="E159" s="10" t="n"/>
      <c r="F159" s="10" t="n"/>
      <c r="G159" s="10" t="n"/>
      <c r="H159" s="9" t="n"/>
      <c r="I159" s="9" t="n"/>
      <c r="K159" s="14">
        <f>IF($C159="","",IFERROR(LOOKUP(2,1/($C$4:$C158=$C159),$L$4:$L158),0))</f>
        <v/>
      </c>
      <c r="L159" s="14">
        <f>IF($C159="","",IF($D159="매수",$K159+$E159,MAX(0,$K159-$E159)))</f>
        <v/>
      </c>
      <c r="M159" s="15">
        <f>IF($C159="","",IFERROR(LOOKUP(2,1/($C$4:$C158=$C159),$N$4:$N158),0))</f>
        <v/>
      </c>
      <c r="N159" s="15">
        <f>IF($C159="","",IF($D159="매수",$M159+$E159*$F159+$G159,$M159-IF($K159=0,0,$M159/$K159)*MIN($E159,$K159)))</f>
        <v/>
      </c>
      <c r="O159" s="14">
        <f>IF($C159="","",IF($L159=0,0,$N159/$L159))</f>
        <v/>
      </c>
      <c r="P159" s="15">
        <f>IF($C159="","",IF($D159="매수",0,MIN($E159,$K159)*$F159-IF($K159=0,0,$M159/$K159)*MIN($E159,$K159)-$G159))</f>
        <v/>
      </c>
    </row>
    <row r="160">
      <c r="A160" s="13" t="n"/>
      <c r="B160" s="9" t="n"/>
      <c r="C160" s="9" t="n"/>
      <c r="D160" s="9" t="n"/>
      <c r="E160" s="10" t="n"/>
      <c r="F160" s="10" t="n"/>
      <c r="G160" s="10" t="n"/>
      <c r="H160" s="9" t="n"/>
      <c r="I160" s="9" t="n"/>
      <c r="K160" s="14">
        <f>IF($C160="","",IFERROR(LOOKUP(2,1/($C$4:$C159=$C160),$L$4:$L159),0))</f>
        <v/>
      </c>
      <c r="L160" s="14">
        <f>IF($C160="","",IF($D160="매수",$K160+$E160,MAX(0,$K160-$E160)))</f>
        <v/>
      </c>
      <c r="M160" s="15">
        <f>IF($C160="","",IFERROR(LOOKUP(2,1/($C$4:$C159=$C160),$N$4:$N159),0))</f>
        <v/>
      </c>
      <c r="N160" s="15">
        <f>IF($C160="","",IF($D160="매수",$M160+$E160*$F160+$G160,$M160-IF($K160=0,0,$M160/$K160)*MIN($E160,$K160)))</f>
        <v/>
      </c>
      <c r="O160" s="14">
        <f>IF($C160="","",IF($L160=0,0,$N160/$L160))</f>
        <v/>
      </c>
      <c r="P160" s="15">
        <f>IF($C160="","",IF($D160="매수",0,MIN($E160,$K160)*$F160-IF($K160=0,0,$M160/$K160)*MIN($E160,$K160)-$G160))</f>
        <v/>
      </c>
    </row>
    <row r="161">
      <c r="A161" s="13" t="n"/>
      <c r="B161" s="9" t="n"/>
      <c r="C161" s="9" t="n"/>
      <c r="D161" s="9" t="n"/>
      <c r="E161" s="10" t="n"/>
      <c r="F161" s="10" t="n"/>
      <c r="G161" s="10" t="n"/>
      <c r="H161" s="9" t="n"/>
      <c r="I161" s="9" t="n"/>
      <c r="K161" s="14">
        <f>IF($C161="","",IFERROR(LOOKUP(2,1/($C$4:$C160=$C161),$L$4:$L160),0))</f>
        <v/>
      </c>
      <c r="L161" s="14">
        <f>IF($C161="","",IF($D161="매수",$K161+$E161,MAX(0,$K161-$E161)))</f>
        <v/>
      </c>
      <c r="M161" s="15">
        <f>IF($C161="","",IFERROR(LOOKUP(2,1/($C$4:$C160=$C161),$N$4:$N160),0))</f>
        <v/>
      </c>
      <c r="N161" s="15">
        <f>IF($C161="","",IF($D161="매수",$M161+$E161*$F161+$G161,$M161-IF($K161=0,0,$M161/$K161)*MIN($E161,$K161)))</f>
        <v/>
      </c>
      <c r="O161" s="14">
        <f>IF($C161="","",IF($L161=0,0,$N161/$L161))</f>
        <v/>
      </c>
      <c r="P161" s="15">
        <f>IF($C161="","",IF($D161="매수",0,MIN($E161,$K161)*$F161-IF($K161=0,0,$M161/$K161)*MIN($E161,$K161)-$G161))</f>
        <v/>
      </c>
    </row>
    <row r="162">
      <c r="A162" s="13" t="n"/>
      <c r="B162" s="9" t="n"/>
      <c r="C162" s="9" t="n"/>
      <c r="D162" s="9" t="n"/>
      <c r="E162" s="10" t="n"/>
      <c r="F162" s="10" t="n"/>
      <c r="G162" s="10" t="n"/>
      <c r="H162" s="9" t="n"/>
      <c r="I162" s="9" t="n"/>
      <c r="K162" s="14">
        <f>IF($C162="","",IFERROR(LOOKUP(2,1/($C$4:$C161=$C162),$L$4:$L161),0))</f>
        <v/>
      </c>
      <c r="L162" s="14">
        <f>IF($C162="","",IF($D162="매수",$K162+$E162,MAX(0,$K162-$E162)))</f>
        <v/>
      </c>
      <c r="M162" s="15">
        <f>IF($C162="","",IFERROR(LOOKUP(2,1/($C$4:$C161=$C162),$N$4:$N161),0))</f>
        <v/>
      </c>
      <c r="N162" s="15">
        <f>IF($C162="","",IF($D162="매수",$M162+$E162*$F162+$G162,$M162-IF($K162=0,0,$M162/$K162)*MIN($E162,$K162)))</f>
        <v/>
      </c>
      <c r="O162" s="14">
        <f>IF($C162="","",IF($L162=0,0,$N162/$L162))</f>
        <v/>
      </c>
      <c r="P162" s="15">
        <f>IF($C162="","",IF($D162="매수",0,MIN($E162,$K162)*$F162-IF($K162=0,0,$M162/$K162)*MIN($E162,$K162)-$G162))</f>
        <v/>
      </c>
    </row>
    <row r="163">
      <c r="A163" s="13" t="n"/>
      <c r="B163" s="9" t="n"/>
      <c r="C163" s="9" t="n"/>
      <c r="D163" s="9" t="n"/>
      <c r="E163" s="10" t="n"/>
      <c r="F163" s="10" t="n"/>
      <c r="G163" s="10" t="n"/>
      <c r="H163" s="9" t="n"/>
      <c r="I163" s="9" t="n"/>
      <c r="K163" s="14">
        <f>IF($C163="","",IFERROR(LOOKUP(2,1/($C$4:$C162=$C163),$L$4:$L162),0))</f>
        <v/>
      </c>
      <c r="L163" s="14">
        <f>IF($C163="","",IF($D163="매수",$K163+$E163,MAX(0,$K163-$E163)))</f>
        <v/>
      </c>
      <c r="M163" s="15">
        <f>IF($C163="","",IFERROR(LOOKUP(2,1/($C$4:$C162=$C163),$N$4:$N162),0))</f>
        <v/>
      </c>
      <c r="N163" s="15">
        <f>IF($C163="","",IF($D163="매수",$M163+$E163*$F163+$G163,$M163-IF($K163=0,0,$M163/$K163)*MIN($E163,$K163)))</f>
        <v/>
      </c>
      <c r="O163" s="14">
        <f>IF($C163="","",IF($L163=0,0,$N163/$L163))</f>
        <v/>
      </c>
      <c r="P163" s="15">
        <f>IF($C163="","",IF($D163="매수",0,MIN($E163,$K163)*$F163-IF($K163=0,0,$M163/$K163)*MIN($E163,$K163)-$G163))</f>
        <v/>
      </c>
    </row>
    <row r="164">
      <c r="A164" s="13" t="n"/>
      <c r="B164" s="9" t="n"/>
      <c r="C164" s="9" t="n"/>
      <c r="D164" s="9" t="n"/>
      <c r="E164" s="10" t="n"/>
      <c r="F164" s="10" t="n"/>
      <c r="G164" s="10" t="n"/>
      <c r="H164" s="9" t="n"/>
      <c r="I164" s="9" t="n"/>
      <c r="K164" s="14">
        <f>IF($C164="","",IFERROR(LOOKUP(2,1/($C$4:$C163=$C164),$L$4:$L163),0))</f>
        <v/>
      </c>
      <c r="L164" s="14">
        <f>IF($C164="","",IF($D164="매수",$K164+$E164,MAX(0,$K164-$E164)))</f>
        <v/>
      </c>
      <c r="M164" s="15">
        <f>IF($C164="","",IFERROR(LOOKUP(2,1/($C$4:$C163=$C164),$N$4:$N163),0))</f>
        <v/>
      </c>
      <c r="N164" s="15">
        <f>IF($C164="","",IF($D164="매수",$M164+$E164*$F164+$G164,$M164-IF($K164=0,0,$M164/$K164)*MIN($E164,$K164)))</f>
        <v/>
      </c>
      <c r="O164" s="14">
        <f>IF($C164="","",IF($L164=0,0,$N164/$L164))</f>
        <v/>
      </c>
      <c r="P164" s="15">
        <f>IF($C164="","",IF($D164="매수",0,MIN($E164,$K164)*$F164-IF($K164=0,0,$M164/$K164)*MIN($E164,$K164)-$G164))</f>
        <v/>
      </c>
    </row>
    <row r="165">
      <c r="A165" s="13" t="n"/>
      <c r="B165" s="9" t="n"/>
      <c r="C165" s="9" t="n"/>
      <c r="D165" s="9" t="n"/>
      <c r="E165" s="10" t="n"/>
      <c r="F165" s="10" t="n"/>
      <c r="G165" s="10" t="n"/>
      <c r="H165" s="9" t="n"/>
      <c r="I165" s="9" t="n"/>
      <c r="K165" s="14">
        <f>IF($C165="","",IFERROR(LOOKUP(2,1/($C$4:$C164=$C165),$L$4:$L164),0))</f>
        <v/>
      </c>
      <c r="L165" s="14">
        <f>IF($C165="","",IF($D165="매수",$K165+$E165,MAX(0,$K165-$E165)))</f>
        <v/>
      </c>
      <c r="M165" s="15">
        <f>IF($C165="","",IFERROR(LOOKUP(2,1/($C$4:$C164=$C165),$N$4:$N164),0))</f>
        <v/>
      </c>
      <c r="N165" s="15">
        <f>IF($C165="","",IF($D165="매수",$M165+$E165*$F165+$G165,$M165-IF($K165=0,0,$M165/$K165)*MIN($E165,$K165)))</f>
        <v/>
      </c>
      <c r="O165" s="14">
        <f>IF($C165="","",IF($L165=0,0,$N165/$L165))</f>
        <v/>
      </c>
      <c r="P165" s="15">
        <f>IF($C165="","",IF($D165="매수",0,MIN($E165,$K165)*$F165-IF($K165=0,0,$M165/$K165)*MIN($E165,$K165)-$G165))</f>
        <v/>
      </c>
    </row>
    <row r="166">
      <c r="A166" s="13" t="n"/>
      <c r="B166" s="9" t="n"/>
      <c r="C166" s="9" t="n"/>
      <c r="D166" s="9" t="n"/>
      <c r="E166" s="10" t="n"/>
      <c r="F166" s="10" t="n"/>
      <c r="G166" s="10" t="n"/>
      <c r="H166" s="9" t="n"/>
      <c r="I166" s="9" t="n"/>
      <c r="K166" s="14">
        <f>IF($C166="","",IFERROR(LOOKUP(2,1/($C$4:$C165=$C166),$L$4:$L165),0))</f>
        <v/>
      </c>
      <c r="L166" s="14">
        <f>IF($C166="","",IF($D166="매수",$K166+$E166,MAX(0,$K166-$E166)))</f>
        <v/>
      </c>
      <c r="M166" s="15">
        <f>IF($C166="","",IFERROR(LOOKUP(2,1/($C$4:$C165=$C166),$N$4:$N165),0))</f>
        <v/>
      </c>
      <c r="N166" s="15">
        <f>IF($C166="","",IF($D166="매수",$M166+$E166*$F166+$G166,$M166-IF($K166=0,0,$M166/$K166)*MIN($E166,$K166)))</f>
        <v/>
      </c>
      <c r="O166" s="14">
        <f>IF($C166="","",IF($L166=0,0,$N166/$L166))</f>
        <v/>
      </c>
      <c r="P166" s="15">
        <f>IF($C166="","",IF($D166="매수",0,MIN($E166,$K166)*$F166-IF($K166=0,0,$M166/$K166)*MIN($E166,$K166)-$G166))</f>
        <v/>
      </c>
    </row>
    <row r="167">
      <c r="A167" s="13" t="n"/>
      <c r="B167" s="9" t="n"/>
      <c r="C167" s="9" t="n"/>
      <c r="D167" s="9" t="n"/>
      <c r="E167" s="10" t="n"/>
      <c r="F167" s="10" t="n"/>
      <c r="G167" s="10" t="n"/>
      <c r="H167" s="9" t="n"/>
      <c r="I167" s="9" t="n"/>
      <c r="K167" s="14">
        <f>IF($C167="","",IFERROR(LOOKUP(2,1/($C$4:$C166=$C167),$L$4:$L166),0))</f>
        <v/>
      </c>
      <c r="L167" s="14">
        <f>IF($C167="","",IF($D167="매수",$K167+$E167,MAX(0,$K167-$E167)))</f>
        <v/>
      </c>
      <c r="M167" s="15">
        <f>IF($C167="","",IFERROR(LOOKUP(2,1/($C$4:$C166=$C167),$N$4:$N166),0))</f>
        <v/>
      </c>
      <c r="N167" s="15">
        <f>IF($C167="","",IF($D167="매수",$M167+$E167*$F167+$G167,$M167-IF($K167=0,0,$M167/$K167)*MIN($E167,$K167)))</f>
        <v/>
      </c>
      <c r="O167" s="14">
        <f>IF($C167="","",IF($L167=0,0,$N167/$L167))</f>
        <v/>
      </c>
      <c r="P167" s="15">
        <f>IF($C167="","",IF($D167="매수",0,MIN($E167,$K167)*$F167-IF($K167=0,0,$M167/$K167)*MIN($E167,$K167)-$G167))</f>
        <v/>
      </c>
    </row>
    <row r="168">
      <c r="A168" s="13" t="n"/>
      <c r="B168" s="9" t="n"/>
      <c r="C168" s="9" t="n"/>
      <c r="D168" s="9" t="n"/>
      <c r="E168" s="10" t="n"/>
      <c r="F168" s="10" t="n"/>
      <c r="G168" s="10" t="n"/>
      <c r="H168" s="9" t="n"/>
      <c r="I168" s="9" t="n"/>
      <c r="K168" s="14">
        <f>IF($C168="","",IFERROR(LOOKUP(2,1/($C$4:$C167=$C168),$L$4:$L167),0))</f>
        <v/>
      </c>
      <c r="L168" s="14">
        <f>IF($C168="","",IF($D168="매수",$K168+$E168,MAX(0,$K168-$E168)))</f>
        <v/>
      </c>
      <c r="M168" s="15">
        <f>IF($C168="","",IFERROR(LOOKUP(2,1/($C$4:$C167=$C168),$N$4:$N167),0))</f>
        <v/>
      </c>
      <c r="N168" s="15">
        <f>IF($C168="","",IF($D168="매수",$M168+$E168*$F168+$G168,$M168-IF($K168=0,0,$M168/$K168)*MIN($E168,$K168)))</f>
        <v/>
      </c>
      <c r="O168" s="14">
        <f>IF($C168="","",IF($L168=0,0,$N168/$L168))</f>
        <v/>
      </c>
      <c r="P168" s="15">
        <f>IF($C168="","",IF($D168="매수",0,MIN($E168,$K168)*$F168-IF($K168=0,0,$M168/$K168)*MIN($E168,$K168)-$G168))</f>
        <v/>
      </c>
    </row>
    <row r="169">
      <c r="A169" s="13" t="n"/>
      <c r="B169" s="9" t="n"/>
      <c r="C169" s="9" t="n"/>
      <c r="D169" s="9" t="n"/>
      <c r="E169" s="10" t="n"/>
      <c r="F169" s="10" t="n"/>
      <c r="G169" s="10" t="n"/>
      <c r="H169" s="9" t="n"/>
      <c r="I169" s="9" t="n"/>
      <c r="K169" s="14">
        <f>IF($C169="","",IFERROR(LOOKUP(2,1/($C$4:$C168=$C169),$L$4:$L168),0))</f>
        <v/>
      </c>
      <c r="L169" s="14">
        <f>IF($C169="","",IF($D169="매수",$K169+$E169,MAX(0,$K169-$E169)))</f>
        <v/>
      </c>
      <c r="M169" s="15">
        <f>IF($C169="","",IFERROR(LOOKUP(2,1/($C$4:$C168=$C169),$N$4:$N168),0))</f>
        <v/>
      </c>
      <c r="N169" s="15">
        <f>IF($C169="","",IF($D169="매수",$M169+$E169*$F169+$G169,$M169-IF($K169=0,0,$M169/$K169)*MIN($E169,$K169)))</f>
        <v/>
      </c>
      <c r="O169" s="14">
        <f>IF($C169="","",IF($L169=0,0,$N169/$L169))</f>
        <v/>
      </c>
      <c r="P169" s="15">
        <f>IF($C169="","",IF($D169="매수",0,MIN($E169,$K169)*$F169-IF($K169=0,0,$M169/$K169)*MIN($E169,$K169)-$G169))</f>
        <v/>
      </c>
    </row>
    <row r="170">
      <c r="A170" s="13" t="n"/>
      <c r="B170" s="9" t="n"/>
      <c r="C170" s="9" t="n"/>
      <c r="D170" s="9" t="n"/>
      <c r="E170" s="10" t="n"/>
      <c r="F170" s="10" t="n"/>
      <c r="G170" s="10" t="n"/>
      <c r="H170" s="9" t="n"/>
      <c r="I170" s="9" t="n"/>
      <c r="K170" s="14">
        <f>IF($C170="","",IFERROR(LOOKUP(2,1/($C$4:$C169=$C170),$L$4:$L169),0))</f>
        <v/>
      </c>
      <c r="L170" s="14">
        <f>IF($C170="","",IF($D170="매수",$K170+$E170,MAX(0,$K170-$E170)))</f>
        <v/>
      </c>
      <c r="M170" s="15">
        <f>IF($C170="","",IFERROR(LOOKUP(2,1/($C$4:$C169=$C170),$N$4:$N169),0))</f>
        <v/>
      </c>
      <c r="N170" s="15">
        <f>IF($C170="","",IF($D170="매수",$M170+$E170*$F170+$G170,$M170-IF($K170=0,0,$M170/$K170)*MIN($E170,$K170)))</f>
        <v/>
      </c>
      <c r="O170" s="14">
        <f>IF($C170="","",IF($L170=0,0,$N170/$L170))</f>
        <v/>
      </c>
      <c r="P170" s="15">
        <f>IF($C170="","",IF($D170="매수",0,MIN($E170,$K170)*$F170-IF($K170=0,0,$M170/$K170)*MIN($E170,$K170)-$G170))</f>
        <v/>
      </c>
    </row>
    <row r="171">
      <c r="A171" s="13" t="n"/>
      <c r="B171" s="9" t="n"/>
      <c r="C171" s="9" t="n"/>
      <c r="D171" s="9" t="n"/>
      <c r="E171" s="10" t="n"/>
      <c r="F171" s="10" t="n"/>
      <c r="G171" s="10" t="n"/>
      <c r="H171" s="9" t="n"/>
      <c r="I171" s="9" t="n"/>
      <c r="K171" s="14">
        <f>IF($C171="","",IFERROR(LOOKUP(2,1/($C$4:$C170=$C171),$L$4:$L170),0))</f>
        <v/>
      </c>
      <c r="L171" s="14">
        <f>IF($C171="","",IF($D171="매수",$K171+$E171,MAX(0,$K171-$E171)))</f>
        <v/>
      </c>
      <c r="M171" s="15">
        <f>IF($C171="","",IFERROR(LOOKUP(2,1/($C$4:$C170=$C171),$N$4:$N170),0))</f>
        <v/>
      </c>
      <c r="N171" s="15">
        <f>IF($C171="","",IF($D171="매수",$M171+$E171*$F171+$G171,$M171-IF($K171=0,0,$M171/$K171)*MIN($E171,$K171)))</f>
        <v/>
      </c>
      <c r="O171" s="14">
        <f>IF($C171="","",IF($L171=0,0,$N171/$L171))</f>
        <v/>
      </c>
      <c r="P171" s="15">
        <f>IF($C171="","",IF($D171="매수",0,MIN($E171,$K171)*$F171-IF($K171=0,0,$M171/$K171)*MIN($E171,$K171)-$G171))</f>
        <v/>
      </c>
    </row>
    <row r="172">
      <c r="A172" s="13" t="n"/>
      <c r="B172" s="9" t="n"/>
      <c r="C172" s="9" t="n"/>
      <c r="D172" s="9" t="n"/>
      <c r="E172" s="10" t="n"/>
      <c r="F172" s="10" t="n"/>
      <c r="G172" s="10" t="n"/>
      <c r="H172" s="9" t="n"/>
      <c r="I172" s="9" t="n"/>
      <c r="K172" s="14">
        <f>IF($C172="","",IFERROR(LOOKUP(2,1/($C$4:$C171=$C172),$L$4:$L171),0))</f>
        <v/>
      </c>
      <c r="L172" s="14">
        <f>IF($C172="","",IF($D172="매수",$K172+$E172,MAX(0,$K172-$E172)))</f>
        <v/>
      </c>
      <c r="M172" s="15">
        <f>IF($C172="","",IFERROR(LOOKUP(2,1/($C$4:$C171=$C172),$N$4:$N171),0))</f>
        <v/>
      </c>
      <c r="N172" s="15">
        <f>IF($C172="","",IF($D172="매수",$M172+$E172*$F172+$G172,$M172-IF($K172=0,0,$M172/$K172)*MIN($E172,$K172)))</f>
        <v/>
      </c>
      <c r="O172" s="14">
        <f>IF($C172="","",IF($L172=0,0,$N172/$L172))</f>
        <v/>
      </c>
      <c r="P172" s="15">
        <f>IF($C172="","",IF($D172="매수",0,MIN($E172,$K172)*$F172-IF($K172=0,0,$M172/$K172)*MIN($E172,$K172)-$G172))</f>
        <v/>
      </c>
    </row>
    <row r="173">
      <c r="A173" s="13" t="n"/>
      <c r="B173" s="9" t="n"/>
      <c r="C173" s="9" t="n"/>
      <c r="D173" s="9" t="n"/>
      <c r="E173" s="10" t="n"/>
      <c r="F173" s="10" t="n"/>
      <c r="G173" s="10" t="n"/>
      <c r="H173" s="9" t="n"/>
      <c r="I173" s="9" t="n"/>
      <c r="K173" s="14">
        <f>IF($C173="","",IFERROR(LOOKUP(2,1/($C$4:$C172=$C173),$L$4:$L172),0))</f>
        <v/>
      </c>
      <c r="L173" s="14">
        <f>IF($C173="","",IF($D173="매수",$K173+$E173,MAX(0,$K173-$E173)))</f>
        <v/>
      </c>
      <c r="M173" s="15">
        <f>IF($C173="","",IFERROR(LOOKUP(2,1/($C$4:$C172=$C173),$N$4:$N172),0))</f>
        <v/>
      </c>
      <c r="N173" s="15">
        <f>IF($C173="","",IF($D173="매수",$M173+$E173*$F173+$G173,$M173-IF($K173=0,0,$M173/$K173)*MIN($E173,$K173)))</f>
        <v/>
      </c>
      <c r="O173" s="14">
        <f>IF($C173="","",IF($L173=0,0,$N173/$L173))</f>
        <v/>
      </c>
      <c r="P173" s="15">
        <f>IF($C173="","",IF($D173="매수",0,MIN($E173,$K173)*$F173-IF($K173=0,0,$M173/$K173)*MIN($E173,$K173)-$G173))</f>
        <v/>
      </c>
    </row>
    <row r="174">
      <c r="A174" s="13" t="n"/>
      <c r="B174" s="9" t="n"/>
      <c r="C174" s="9" t="n"/>
      <c r="D174" s="9" t="n"/>
      <c r="E174" s="10" t="n"/>
      <c r="F174" s="10" t="n"/>
      <c r="G174" s="10" t="n"/>
      <c r="H174" s="9" t="n"/>
      <c r="I174" s="9" t="n"/>
      <c r="K174" s="14">
        <f>IF($C174="","",IFERROR(LOOKUP(2,1/($C$4:$C173=$C174),$L$4:$L173),0))</f>
        <v/>
      </c>
      <c r="L174" s="14">
        <f>IF($C174="","",IF($D174="매수",$K174+$E174,MAX(0,$K174-$E174)))</f>
        <v/>
      </c>
      <c r="M174" s="15">
        <f>IF($C174="","",IFERROR(LOOKUP(2,1/($C$4:$C173=$C174),$N$4:$N173),0))</f>
        <v/>
      </c>
      <c r="N174" s="15">
        <f>IF($C174="","",IF($D174="매수",$M174+$E174*$F174+$G174,$M174-IF($K174=0,0,$M174/$K174)*MIN($E174,$K174)))</f>
        <v/>
      </c>
      <c r="O174" s="14">
        <f>IF($C174="","",IF($L174=0,0,$N174/$L174))</f>
        <v/>
      </c>
      <c r="P174" s="15">
        <f>IF($C174="","",IF($D174="매수",0,MIN($E174,$K174)*$F174-IF($K174=0,0,$M174/$K174)*MIN($E174,$K174)-$G174))</f>
        <v/>
      </c>
    </row>
    <row r="175">
      <c r="A175" s="13" t="n"/>
      <c r="B175" s="9" t="n"/>
      <c r="C175" s="9" t="n"/>
      <c r="D175" s="9" t="n"/>
      <c r="E175" s="10" t="n"/>
      <c r="F175" s="10" t="n"/>
      <c r="G175" s="10" t="n"/>
      <c r="H175" s="9" t="n"/>
      <c r="I175" s="9" t="n"/>
      <c r="K175" s="14">
        <f>IF($C175="","",IFERROR(LOOKUP(2,1/($C$4:$C174=$C175),$L$4:$L174),0))</f>
        <v/>
      </c>
      <c r="L175" s="14">
        <f>IF($C175="","",IF($D175="매수",$K175+$E175,MAX(0,$K175-$E175)))</f>
        <v/>
      </c>
      <c r="M175" s="15">
        <f>IF($C175="","",IFERROR(LOOKUP(2,1/($C$4:$C174=$C175),$N$4:$N174),0))</f>
        <v/>
      </c>
      <c r="N175" s="15">
        <f>IF($C175="","",IF($D175="매수",$M175+$E175*$F175+$G175,$M175-IF($K175=0,0,$M175/$K175)*MIN($E175,$K175)))</f>
        <v/>
      </c>
      <c r="O175" s="14">
        <f>IF($C175="","",IF($L175=0,0,$N175/$L175))</f>
        <v/>
      </c>
      <c r="P175" s="15">
        <f>IF($C175="","",IF($D175="매수",0,MIN($E175,$K175)*$F175-IF($K175=0,0,$M175/$K175)*MIN($E175,$K175)-$G175))</f>
        <v/>
      </c>
    </row>
    <row r="176">
      <c r="A176" s="13" t="n"/>
      <c r="B176" s="9" t="n"/>
      <c r="C176" s="9" t="n"/>
      <c r="D176" s="9" t="n"/>
      <c r="E176" s="10" t="n"/>
      <c r="F176" s="10" t="n"/>
      <c r="G176" s="10" t="n"/>
      <c r="H176" s="9" t="n"/>
      <c r="I176" s="9" t="n"/>
      <c r="K176" s="14">
        <f>IF($C176="","",IFERROR(LOOKUP(2,1/($C$4:$C175=$C176),$L$4:$L175),0))</f>
        <v/>
      </c>
      <c r="L176" s="14">
        <f>IF($C176="","",IF($D176="매수",$K176+$E176,MAX(0,$K176-$E176)))</f>
        <v/>
      </c>
      <c r="M176" s="15">
        <f>IF($C176="","",IFERROR(LOOKUP(2,1/($C$4:$C175=$C176),$N$4:$N175),0))</f>
        <v/>
      </c>
      <c r="N176" s="15">
        <f>IF($C176="","",IF($D176="매수",$M176+$E176*$F176+$G176,$M176-IF($K176=0,0,$M176/$K176)*MIN($E176,$K176)))</f>
        <v/>
      </c>
      <c r="O176" s="14">
        <f>IF($C176="","",IF($L176=0,0,$N176/$L176))</f>
        <v/>
      </c>
      <c r="P176" s="15">
        <f>IF($C176="","",IF($D176="매수",0,MIN($E176,$K176)*$F176-IF($K176=0,0,$M176/$K176)*MIN($E176,$K176)-$G176))</f>
        <v/>
      </c>
    </row>
    <row r="177">
      <c r="A177" s="13" t="n"/>
      <c r="B177" s="9" t="n"/>
      <c r="C177" s="9" t="n"/>
      <c r="D177" s="9" t="n"/>
      <c r="E177" s="10" t="n"/>
      <c r="F177" s="10" t="n"/>
      <c r="G177" s="10" t="n"/>
      <c r="H177" s="9" t="n"/>
      <c r="I177" s="9" t="n"/>
      <c r="K177" s="14">
        <f>IF($C177="","",IFERROR(LOOKUP(2,1/($C$4:$C176=$C177),$L$4:$L176),0))</f>
        <v/>
      </c>
      <c r="L177" s="14">
        <f>IF($C177="","",IF($D177="매수",$K177+$E177,MAX(0,$K177-$E177)))</f>
        <v/>
      </c>
      <c r="M177" s="15">
        <f>IF($C177="","",IFERROR(LOOKUP(2,1/($C$4:$C176=$C177),$N$4:$N176),0))</f>
        <v/>
      </c>
      <c r="N177" s="15">
        <f>IF($C177="","",IF($D177="매수",$M177+$E177*$F177+$G177,$M177-IF($K177=0,0,$M177/$K177)*MIN($E177,$K177)))</f>
        <v/>
      </c>
      <c r="O177" s="14">
        <f>IF($C177="","",IF($L177=0,0,$N177/$L177))</f>
        <v/>
      </c>
      <c r="P177" s="15">
        <f>IF($C177="","",IF($D177="매수",0,MIN($E177,$K177)*$F177-IF($K177=0,0,$M177/$K177)*MIN($E177,$K177)-$G177))</f>
        <v/>
      </c>
    </row>
    <row r="178">
      <c r="A178" s="13" t="n"/>
      <c r="B178" s="9" t="n"/>
      <c r="C178" s="9" t="n"/>
      <c r="D178" s="9" t="n"/>
      <c r="E178" s="10" t="n"/>
      <c r="F178" s="10" t="n"/>
      <c r="G178" s="10" t="n"/>
      <c r="H178" s="9" t="n"/>
      <c r="I178" s="9" t="n"/>
      <c r="K178" s="14">
        <f>IF($C178="","",IFERROR(LOOKUP(2,1/($C$4:$C177=$C178),$L$4:$L177),0))</f>
        <v/>
      </c>
      <c r="L178" s="14">
        <f>IF($C178="","",IF($D178="매수",$K178+$E178,MAX(0,$K178-$E178)))</f>
        <v/>
      </c>
      <c r="M178" s="15">
        <f>IF($C178="","",IFERROR(LOOKUP(2,1/($C$4:$C177=$C178),$N$4:$N177),0))</f>
        <v/>
      </c>
      <c r="N178" s="15">
        <f>IF($C178="","",IF($D178="매수",$M178+$E178*$F178+$G178,$M178-IF($K178=0,0,$M178/$K178)*MIN($E178,$K178)))</f>
        <v/>
      </c>
      <c r="O178" s="14">
        <f>IF($C178="","",IF($L178=0,0,$N178/$L178))</f>
        <v/>
      </c>
      <c r="P178" s="15">
        <f>IF($C178="","",IF($D178="매수",0,MIN($E178,$K178)*$F178-IF($K178=0,0,$M178/$K178)*MIN($E178,$K178)-$G178))</f>
        <v/>
      </c>
    </row>
    <row r="179">
      <c r="A179" s="13" t="n"/>
      <c r="B179" s="9" t="n"/>
      <c r="C179" s="9" t="n"/>
      <c r="D179" s="9" t="n"/>
      <c r="E179" s="10" t="n"/>
      <c r="F179" s="10" t="n"/>
      <c r="G179" s="10" t="n"/>
      <c r="H179" s="9" t="n"/>
      <c r="I179" s="9" t="n"/>
      <c r="K179" s="14">
        <f>IF($C179="","",IFERROR(LOOKUP(2,1/($C$4:$C178=$C179),$L$4:$L178),0))</f>
        <v/>
      </c>
      <c r="L179" s="14">
        <f>IF($C179="","",IF($D179="매수",$K179+$E179,MAX(0,$K179-$E179)))</f>
        <v/>
      </c>
      <c r="M179" s="15">
        <f>IF($C179="","",IFERROR(LOOKUP(2,1/($C$4:$C178=$C179),$N$4:$N178),0))</f>
        <v/>
      </c>
      <c r="N179" s="15">
        <f>IF($C179="","",IF($D179="매수",$M179+$E179*$F179+$G179,$M179-IF($K179=0,0,$M179/$K179)*MIN($E179,$K179)))</f>
        <v/>
      </c>
      <c r="O179" s="14">
        <f>IF($C179="","",IF($L179=0,0,$N179/$L179))</f>
        <v/>
      </c>
      <c r="P179" s="15">
        <f>IF($C179="","",IF($D179="매수",0,MIN($E179,$K179)*$F179-IF($K179=0,0,$M179/$K179)*MIN($E179,$K179)-$G179))</f>
        <v/>
      </c>
    </row>
    <row r="180">
      <c r="A180" s="13" t="n"/>
      <c r="B180" s="9" t="n"/>
      <c r="C180" s="9" t="n"/>
      <c r="D180" s="9" t="n"/>
      <c r="E180" s="10" t="n"/>
      <c r="F180" s="10" t="n"/>
      <c r="G180" s="10" t="n"/>
      <c r="H180" s="9" t="n"/>
      <c r="I180" s="9" t="n"/>
      <c r="K180" s="14">
        <f>IF($C180="","",IFERROR(LOOKUP(2,1/($C$4:$C179=$C180),$L$4:$L179),0))</f>
        <v/>
      </c>
      <c r="L180" s="14">
        <f>IF($C180="","",IF($D180="매수",$K180+$E180,MAX(0,$K180-$E180)))</f>
        <v/>
      </c>
      <c r="M180" s="15">
        <f>IF($C180="","",IFERROR(LOOKUP(2,1/($C$4:$C179=$C180),$N$4:$N179),0))</f>
        <v/>
      </c>
      <c r="N180" s="15">
        <f>IF($C180="","",IF($D180="매수",$M180+$E180*$F180+$G180,$M180-IF($K180=0,0,$M180/$K180)*MIN($E180,$K180)))</f>
        <v/>
      </c>
      <c r="O180" s="14">
        <f>IF($C180="","",IF($L180=0,0,$N180/$L180))</f>
        <v/>
      </c>
      <c r="P180" s="15">
        <f>IF($C180="","",IF($D180="매수",0,MIN($E180,$K180)*$F180-IF($K180=0,0,$M180/$K180)*MIN($E180,$K180)-$G180))</f>
        <v/>
      </c>
    </row>
    <row r="181">
      <c r="A181" s="13" t="n"/>
      <c r="B181" s="9" t="n"/>
      <c r="C181" s="9" t="n"/>
      <c r="D181" s="9" t="n"/>
      <c r="E181" s="10" t="n"/>
      <c r="F181" s="10" t="n"/>
      <c r="G181" s="10" t="n"/>
      <c r="H181" s="9" t="n"/>
      <c r="I181" s="9" t="n"/>
      <c r="K181" s="14">
        <f>IF($C181="","",IFERROR(LOOKUP(2,1/($C$4:$C180=$C181),$L$4:$L180),0))</f>
        <v/>
      </c>
      <c r="L181" s="14">
        <f>IF($C181="","",IF($D181="매수",$K181+$E181,MAX(0,$K181-$E181)))</f>
        <v/>
      </c>
      <c r="M181" s="15">
        <f>IF($C181="","",IFERROR(LOOKUP(2,1/($C$4:$C180=$C181),$N$4:$N180),0))</f>
        <v/>
      </c>
      <c r="N181" s="15">
        <f>IF($C181="","",IF($D181="매수",$M181+$E181*$F181+$G181,$M181-IF($K181=0,0,$M181/$K181)*MIN($E181,$K181)))</f>
        <v/>
      </c>
      <c r="O181" s="14">
        <f>IF($C181="","",IF($L181=0,0,$N181/$L181))</f>
        <v/>
      </c>
      <c r="P181" s="15">
        <f>IF($C181="","",IF($D181="매수",0,MIN($E181,$K181)*$F181-IF($K181=0,0,$M181/$K181)*MIN($E181,$K181)-$G181))</f>
        <v/>
      </c>
    </row>
    <row r="182">
      <c r="A182" s="13" t="n"/>
      <c r="B182" s="9" t="n"/>
      <c r="C182" s="9" t="n"/>
      <c r="D182" s="9" t="n"/>
      <c r="E182" s="10" t="n"/>
      <c r="F182" s="10" t="n"/>
      <c r="G182" s="10" t="n"/>
      <c r="H182" s="9" t="n"/>
      <c r="I182" s="9" t="n"/>
      <c r="K182" s="14">
        <f>IF($C182="","",IFERROR(LOOKUP(2,1/($C$4:$C181=$C182),$L$4:$L181),0))</f>
        <v/>
      </c>
      <c r="L182" s="14">
        <f>IF($C182="","",IF($D182="매수",$K182+$E182,MAX(0,$K182-$E182)))</f>
        <v/>
      </c>
      <c r="M182" s="15">
        <f>IF($C182="","",IFERROR(LOOKUP(2,1/($C$4:$C181=$C182),$N$4:$N181),0))</f>
        <v/>
      </c>
      <c r="N182" s="15">
        <f>IF($C182="","",IF($D182="매수",$M182+$E182*$F182+$G182,$M182-IF($K182=0,0,$M182/$K182)*MIN($E182,$K182)))</f>
        <v/>
      </c>
      <c r="O182" s="14">
        <f>IF($C182="","",IF($L182=0,0,$N182/$L182))</f>
        <v/>
      </c>
      <c r="P182" s="15">
        <f>IF($C182="","",IF($D182="매수",0,MIN($E182,$K182)*$F182-IF($K182=0,0,$M182/$K182)*MIN($E182,$K182)-$G182))</f>
        <v/>
      </c>
    </row>
    <row r="183">
      <c r="A183" s="13" t="n"/>
      <c r="B183" s="9" t="n"/>
      <c r="C183" s="9" t="n"/>
      <c r="D183" s="9" t="n"/>
      <c r="E183" s="10" t="n"/>
      <c r="F183" s="10" t="n"/>
      <c r="G183" s="10" t="n"/>
      <c r="H183" s="9" t="n"/>
      <c r="I183" s="9" t="n"/>
      <c r="K183" s="14">
        <f>IF($C183="","",IFERROR(LOOKUP(2,1/($C$4:$C182=$C183),$L$4:$L182),0))</f>
        <v/>
      </c>
      <c r="L183" s="14">
        <f>IF($C183="","",IF($D183="매수",$K183+$E183,MAX(0,$K183-$E183)))</f>
        <v/>
      </c>
      <c r="M183" s="15">
        <f>IF($C183="","",IFERROR(LOOKUP(2,1/($C$4:$C182=$C183),$N$4:$N182),0))</f>
        <v/>
      </c>
      <c r="N183" s="15">
        <f>IF($C183="","",IF($D183="매수",$M183+$E183*$F183+$G183,$M183-IF($K183=0,0,$M183/$K183)*MIN($E183,$K183)))</f>
        <v/>
      </c>
      <c r="O183" s="14">
        <f>IF($C183="","",IF($L183=0,0,$N183/$L183))</f>
        <v/>
      </c>
      <c r="P183" s="15">
        <f>IF($C183="","",IF($D183="매수",0,MIN($E183,$K183)*$F183-IF($K183=0,0,$M183/$K183)*MIN($E183,$K183)-$G183))</f>
        <v/>
      </c>
    </row>
    <row r="184">
      <c r="A184" s="13" t="n"/>
      <c r="B184" s="9" t="n"/>
      <c r="C184" s="9" t="n"/>
      <c r="D184" s="9" t="n"/>
      <c r="E184" s="10" t="n"/>
      <c r="F184" s="10" t="n"/>
      <c r="G184" s="10" t="n"/>
      <c r="H184" s="9" t="n"/>
      <c r="I184" s="9" t="n"/>
      <c r="K184" s="14">
        <f>IF($C184="","",IFERROR(LOOKUP(2,1/($C$4:$C183=$C184),$L$4:$L183),0))</f>
        <v/>
      </c>
      <c r="L184" s="14">
        <f>IF($C184="","",IF($D184="매수",$K184+$E184,MAX(0,$K184-$E184)))</f>
        <v/>
      </c>
      <c r="M184" s="15">
        <f>IF($C184="","",IFERROR(LOOKUP(2,1/($C$4:$C183=$C184),$N$4:$N183),0))</f>
        <v/>
      </c>
      <c r="N184" s="15">
        <f>IF($C184="","",IF($D184="매수",$M184+$E184*$F184+$G184,$M184-IF($K184=0,0,$M184/$K184)*MIN($E184,$K184)))</f>
        <v/>
      </c>
      <c r="O184" s="14">
        <f>IF($C184="","",IF($L184=0,0,$N184/$L184))</f>
        <v/>
      </c>
      <c r="P184" s="15">
        <f>IF($C184="","",IF($D184="매수",0,MIN($E184,$K184)*$F184-IF($K184=0,0,$M184/$K184)*MIN($E184,$K184)-$G184))</f>
        <v/>
      </c>
    </row>
    <row r="185">
      <c r="A185" s="13" t="n"/>
      <c r="B185" s="9" t="n"/>
      <c r="C185" s="9" t="n"/>
      <c r="D185" s="9" t="n"/>
      <c r="E185" s="10" t="n"/>
      <c r="F185" s="10" t="n"/>
      <c r="G185" s="10" t="n"/>
      <c r="H185" s="9" t="n"/>
      <c r="I185" s="9" t="n"/>
      <c r="K185" s="14">
        <f>IF($C185="","",IFERROR(LOOKUP(2,1/($C$4:$C184=$C185),$L$4:$L184),0))</f>
        <v/>
      </c>
      <c r="L185" s="14">
        <f>IF($C185="","",IF($D185="매수",$K185+$E185,MAX(0,$K185-$E185)))</f>
        <v/>
      </c>
      <c r="M185" s="15">
        <f>IF($C185="","",IFERROR(LOOKUP(2,1/($C$4:$C184=$C185),$N$4:$N184),0))</f>
        <v/>
      </c>
      <c r="N185" s="15">
        <f>IF($C185="","",IF($D185="매수",$M185+$E185*$F185+$G185,$M185-IF($K185=0,0,$M185/$K185)*MIN($E185,$K185)))</f>
        <v/>
      </c>
      <c r="O185" s="14">
        <f>IF($C185="","",IF($L185=0,0,$N185/$L185))</f>
        <v/>
      </c>
      <c r="P185" s="15">
        <f>IF($C185="","",IF($D185="매수",0,MIN($E185,$K185)*$F185-IF($K185=0,0,$M185/$K185)*MIN($E185,$K185)-$G185))</f>
        <v/>
      </c>
    </row>
    <row r="186">
      <c r="A186" s="13" t="n"/>
      <c r="B186" s="9" t="n"/>
      <c r="C186" s="9" t="n"/>
      <c r="D186" s="9" t="n"/>
      <c r="E186" s="10" t="n"/>
      <c r="F186" s="10" t="n"/>
      <c r="G186" s="10" t="n"/>
      <c r="H186" s="9" t="n"/>
      <c r="I186" s="9" t="n"/>
      <c r="K186" s="14">
        <f>IF($C186="","",IFERROR(LOOKUP(2,1/($C$4:$C185=$C186),$L$4:$L185),0))</f>
        <v/>
      </c>
      <c r="L186" s="14">
        <f>IF($C186="","",IF($D186="매수",$K186+$E186,MAX(0,$K186-$E186)))</f>
        <v/>
      </c>
      <c r="M186" s="15">
        <f>IF($C186="","",IFERROR(LOOKUP(2,1/($C$4:$C185=$C186),$N$4:$N185),0))</f>
        <v/>
      </c>
      <c r="N186" s="15">
        <f>IF($C186="","",IF($D186="매수",$M186+$E186*$F186+$G186,$M186-IF($K186=0,0,$M186/$K186)*MIN($E186,$K186)))</f>
        <v/>
      </c>
      <c r="O186" s="14">
        <f>IF($C186="","",IF($L186=0,0,$N186/$L186))</f>
        <v/>
      </c>
      <c r="P186" s="15">
        <f>IF($C186="","",IF($D186="매수",0,MIN($E186,$K186)*$F186-IF($K186=0,0,$M186/$K186)*MIN($E186,$K186)-$G186))</f>
        <v/>
      </c>
    </row>
    <row r="187">
      <c r="A187" s="13" t="n"/>
      <c r="B187" s="9" t="n"/>
      <c r="C187" s="9" t="n"/>
      <c r="D187" s="9" t="n"/>
      <c r="E187" s="10" t="n"/>
      <c r="F187" s="10" t="n"/>
      <c r="G187" s="10" t="n"/>
      <c r="H187" s="9" t="n"/>
      <c r="I187" s="9" t="n"/>
      <c r="K187" s="14">
        <f>IF($C187="","",IFERROR(LOOKUP(2,1/($C$4:$C186=$C187),$L$4:$L186),0))</f>
        <v/>
      </c>
      <c r="L187" s="14">
        <f>IF($C187="","",IF($D187="매수",$K187+$E187,MAX(0,$K187-$E187)))</f>
        <v/>
      </c>
      <c r="M187" s="15">
        <f>IF($C187="","",IFERROR(LOOKUP(2,1/($C$4:$C186=$C187),$N$4:$N186),0))</f>
        <v/>
      </c>
      <c r="N187" s="15">
        <f>IF($C187="","",IF($D187="매수",$M187+$E187*$F187+$G187,$M187-IF($K187=0,0,$M187/$K187)*MIN($E187,$K187)))</f>
        <v/>
      </c>
      <c r="O187" s="14">
        <f>IF($C187="","",IF($L187=0,0,$N187/$L187))</f>
        <v/>
      </c>
      <c r="P187" s="15">
        <f>IF($C187="","",IF($D187="매수",0,MIN($E187,$K187)*$F187-IF($K187=0,0,$M187/$K187)*MIN($E187,$K187)-$G187))</f>
        <v/>
      </c>
    </row>
    <row r="188">
      <c r="A188" s="13" t="n"/>
      <c r="B188" s="9" t="n"/>
      <c r="C188" s="9" t="n"/>
      <c r="D188" s="9" t="n"/>
      <c r="E188" s="10" t="n"/>
      <c r="F188" s="10" t="n"/>
      <c r="G188" s="10" t="n"/>
      <c r="H188" s="9" t="n"/>
      <c r="I188" s="9" t="n"/>
      <c r="K188" s="14">
        <f>IF($C188="","",IFERROR(LOOKUP(2,1/($C$4:$C187=$C188),$L$4:$L187),0))</f>
        <v/>
      </c>
      <c r="L188" s="14">
        <f>IF($C188="","",IF($D188="매수",$K188+$E188,MAX(0,$K188-$E188)))</f>
        <v/>
      </c>
      <c r="M188" s="15">
        <f>IF($C188="","",IFERROR(LOOKUP(2,1/($C$4:$C187=$C188),$N$4:$N187),0))</f>
        <v/>
      </c>
      <c r="N188" s="15">
        <f>IF($C188="","",IF($D188="매수",$M188+$E188*$F188+$G188,$M188-IF($K188=0,0,$M188/$K188)*MIN($E188,$K188)))</f>
        <v/>
      </c>
      <c r="O188" s="14">
        <f>IF($C188="","",IF($L188=0,0,$N188/$L188))</f>
        <v/>
      </c>
      <c r="P188" s="15">
        <f>IF($C188="","",IF($D188="매수",0,MIN($E188,$K188)*$F188-IF($K188=0,0,$M188/$K188)*MIN($E188,$K188)-$G188))</f>
        <v/>
      </c>
    </row>
    <row r="189">
      <c r="A189" s="13" t="n"/>
      <c r="B189" s="9" t="n"/>
      <c r="C189" s="9" t="n"/>
      <c r="D189" s="9" t="n"/>
      <c r="E189" s="10" t="n"/>
      <c r="F189" s="10" t="n"/>
      <c r="G189" s="10" t="n"/>
      <c r="H189" s="9" t="n"/>
      <c r="I189" s="9" t="n"/>
      <c r="K189" s="14">
        <f>IF($C189="","",IFERROR(LOOKUP(2,1/($C$4:$C188=$C189),$L$4:$L188),0))</f>
        <v/>
      </c>
      <c r="L189" s="14">
        <f>IF($C189="","",IF($D189="매수",$K189+$E189,MAX(0,$K189-$E189)))</f>
        <v/>
      </c>
      <c r="M189" s="15">
        <f>IF($C189="","",IFERROR(LOOKUP(2,1/($C$4:$C188=$C189),$N$4:$N188),0))</f>
        <v/>
      </c>
      <c r="N189" s="15">
        <f>IF($C189="","",IF($D189="매수",$M189+$E189*$F189+$G189,$M189-IF($K189=0,0,$M189/$K189)*MIN($E189,$K189)))</f>
        <v/>
      </c>
      <c r="O189" s="14">
        <f>IF($C189="","",IF($L189=0,0,$N189/$L189))</f>
        <v/>
      </c>
      <c r="P189" s="15">
        <f>IF($C189="","",IF($D189="매수",0,MIN($E189,$K189)*$F189-IF($K189=0,0,$M189/$K189)*MIN($E189,$K189)-$G189))</f>
        <v/>
      </c>
    </row>
    <row r="190">
      <c r="A190" s="13" t="n"/>
      <c r="B190" s="9" t="n"/>
      <c r="C190" s="9" t="n"/>
      <c r="D190" s="9" t="n"/>
      <c r="E190" s="10" t="n"/>
      <c r="F190" s="10" t="n"/>
      <c r="G190" s="10" t="n"/>
      <c r="H190" s="9" t="n"/>
      <c r="I190" s="9" t="n"/>
      <c r="K190" s="14">
        <f>IF($C190="","",IFERROR(LOOKUP(2,1/($C$4:$C189=$C190),$L$4:$L189),0))</f>
        <v/>
      </c>
      <c r="L190" s="14">
        <f>IF($C190="","",IF($D190="매수",$K190+$E190,MAX(0,$K190-$E190)))</f>
        <v/>
      </c>
      <c r="M190" s="15">
        <f>IF($C190="","",IFERROR(LOOKUP(2,1/($C$4:$C189=$C190),$N$4:$N189),0))</f>
        <v/>
      </c>
      <c r="N190" s="15">
        <f>IF($C190="","",IF($D190="매수",$M190+$E190*$F190+$G190,$M190-IF($K190=0,0,$M190/$K190)*MIN($E190,$K190)))</f>
        <v/>
      </c>
      <c r="O190" s="14">
        <f>IF($C190="","",IF($L190=0,0,$N190/$L190))</f>
        <v/>
      </c>
      <c r="P190" s="15">
        <f>IF($C190="","",IF($D190="매수",0,MIN($E190,$K190)*$F190-IF($K190=0,0,$M190/$K190)*MIN($E190,$K190)-$G190))</f>
        <v/>
      </c>
    </row>
    <row r="191">
      <c r="A191" s="13" t="n"/>
      <c r="B191" s="9" t="n"/>
      <c r="C191" s="9" t="n"/>
      <c r="D191" s="9" t="n"/>
      <c r="E191" s="10" t="n"/>
      <c r="F191" s="10" t="n"/>
      <c r="G191" s="10" t="n"/>
      <c r="H191" s="9" t="n"/>
      <c r="I191" s="9" t="n"/>
      <c r="K191" s="14">
        <f>IF($C191="","",IFERROR(LOOKUP(2,1/($C$4:$C190=$C191),$L$4:$L190),0))</f>
        <v/>
      </c>
      <c r="L191" s="14">
        <f>IF($C191="","",IF($D191="매수",$K191+$E191,MAX(0,$K191-$E191)))</f>
        <v/>
      </c>
      <c r="M191" s="15">
        <f>IF($C191="","",IFERROR(LOOKUP(2,1/($C$4:$C190=$C191),$N$4:$N190),0))</f>
        <v/>
      </c>
      <c r="N191" s="15">
        <f>IF($C191="","",IF($D191="매수",$M191+$E191*$F191+$G191,$M191-IF($K191=0,0,$M191/$K191)*MIN($E191,$K191)))</f>
        <v/>
      </c>
      <c r="O191" s="14">
        <f>IF($C191="","",IF($L191=0,0,$N191/$L191))</f>
        <v/>
      </c>
      <c r="P191" s="15">
        <f>IF($C191="","",IF($D191="매수",0,MIN($E191,$K191)*$F191-IF($K191=0,0,$M191/$K191)*MIN($E191,$K191)-$G191))</f>
        <v/>
      </c>
    </row>
    <row r="192">
      <c r="A192" s="13" t="n"/>
      <c r="B192" s="9" t="n"/>
      <c r="C192" s="9" t="n"/>
      <c r="D192" s="9" t="n"/>
      <c r="E192" s="10" t="n"/>
      <c r="F192" s="10" t="n"/>
      <c r="G192" s="10" t="n"/>
      <c r="H192" s="9" t="n"/>
      <c r="I192" s="9" t="n"/>
      <c r="K192" s="14">
        <f>IF($C192="","",IFERROR(LOOKUP(2,1/($C$4:$C191=$C192),$L$4:$L191),0))</f>
        <v/>
      </c>
      <c r="L192" s="14">
        <f>IF($C192="","",IF($D192="매수",$K192+$E192,MAX(0,$K192-$E192)))</f>
        <v/>
      </c>
      <c r="M192" s="15">
        <f>IF($C192="","",IFERROR(LOOKUP(2,1/($C$4:$C191=$C192),$N$4:$N191),0))</f>
        <v/>
      </c>
      <c r="N192" s="15">
        <f>IF($C192="","",IF($D192="매수",$M192+$E192*$F192+$G192,$M192-IF($K192=0,0,$M192/$K192)*MIN($E192,$K192)))</f>
        <v/>
      </c>
      <c r="O192" s="14">
        <f>IF($C192="","",IF($L192=0,0,$N192/$L192))</f>
        <v/>
      </c>
      <c r="P192" s="15">
        <f>IF($C192="","",IF($D192="매수",0,MIN($E192,$K192)*$F192-IF($K192=0,0,$M192/$K192)*MIN($E192,$K192)-$G192))</f>
        <v/>
      </c>
    </row>
    <row r="193">
      <c r="A193" s="13" t="n"/>
      <c r="B193" s="9" t="n"/>
      <c r="C193" s="9" t="n"/>
      <c r="D193" s="9" t="n"/>
      <c r="E193" s="10" t="n"/>
      <c r="F193" s="10" t="n"/>
      <c r="G193" s="10" t="n"/>
      <c r="H193" s="9" t="n"/>
      <c r="I193" s="9" t="n"/>
      <c r="K193" s="14">
        <f>IF($C193="","",IFERROR(LOOKUP(2,1/($C$4:$C192=$C193),$L$4:$L192),0))</f>
        <v/>
      </c>
      <c r="L193" s="14">
        <f>IF($C193="","",IF($D193="매수",$K193+$E193,MAX(0,$K193-$E193)))</f>
        <v/>
      </c>
      <c r="M193" s="15">
        <f>IF($C193="","",IFERROR(LOOKUP(2,1/($C$4:$C192=$C193),$N$4:$N192),0))</f>
        <v/>
      </c>
      <c r="N193" s="15">
        <f>IF($C193="","",IF($D193="매수",$M193+$E193*$F193+$G193,$M193-IF($K193=0,0,$M193/$K193)*MIN($E193,$K193)))</f>
        <v/>
      </c>
      <c r="O193" s="14">
        <f>IF($C193="","",IF($L193=0,0,$N193/$L193))</f>
        <v/>
      </c>
      <c r="P193" s="15">
        <f>IF($C193="","",IF($D193="매수",0,MIN($E193,$K193)*$F193-IF($K193=0,0,$M193/$K193)*MIN($E193,$K193)-$G193))</f>
        <v/>
      </c>
    </row>
    <row r="194">
      <c r="A194" s="13" t="n"/>
      <c r="B194" s="9" t="n"/>
      <c r="C194" s="9" t="n"/>
      <c r="D194" s="9" t="n"/>
      <c r="E194" s="10" t="n"/>
      <c r="F194" s="10" t="n"/>
      <c r="G194" s="10" t="n"/>
      <c r="H194" s="9" t="n"/>
      <c r="I194" s="9" t="n"/>
      <c r="K194" s="14">
        <f>IF($C194="","",IFERROR(LOOKUP(2,1/($C$4:$C193=$C194),$L$4:$L193),0))</f>
        <v/>
      </c>
      <c r="L194" s="14">
        <f>IF($C194="","",IF($D194="매수",$K194+$E194,MAX(0,$K194-$E194)))</f>
        <v/>
      </c>
      <c r="M194" s="15">
        <f>IF($C194="","",IFERROR(LOOKUP(2,1/($C$4:$C193=$C194),$N$4:$N193),0))</f>
        <v/>
      </c>
      <c r="N194" s="15">
        <f>IF($C194="","",IF($D194="매수",$M194+$E194*$F194+$G194,$M194-IF($K194=0,0,$M194/$K194)*MIN($E194,$K194)))</f>
        <v/>
      </c>
      <c r="O194" s="14">
        <f>IF($C194="","",IF($L194=0,0,$N194/$L194))</f>
        <v/>
      </c>
      <c r="P194" s="15">
        <f>IF($C194="","",IF($D194="매수",0,MIN($E194,$K194)*$F194-IF($K194=0,0,$M194/$K194)*MIN($E194,$K194)-$G194))</f>
        <v/>
      </c>
    </row>
    <row r="195">
      <c r="A195" s="13" t="n"/>
      <c r="B195" s="9" t="n"/>
      <c r="C195" s="9" t="n"/>
      <c r="D195" s="9" t="n"/>
      <c r="E195" s="10" t="n"/>
      <c r="F195" s="10" t="n"/>
      <c r="G195" s="10" t="n"/>
      <c r="H195" s="9" t="n"/>
      <c r="I195" s="9" t="n"/>
      <c r="K195" s="14">
        <f>IF($C195="","",IFERROR(LOOKUP(2,1/($C$4:$C194=$C195),$L$4:$L194),0))</f>
        <v/>
      </c>
      <c r="L195" s="14">
        <f>IF($C195="","",IF($D195="매수",$K195+$E195,MAX(0,$K195-$E195)))</f>
        <v/>
      </c>
      <c r="M195" s="15">
        <f>IF($C195="","",IFERROR(LOOKUP(2,1/($C$4:$C194=$C195),$N$4:$N194),0))</f>
        <v/>
      </c>
      <c r="N195" s="15">
        <f>IF($C195="","",IF($D195="매수",$M195+$E195*$F195+$G195,$M195-IF($K195=0,0,$M195/$K195)*MIN($E195,$K195)))</f>
        <v/>
      </c>
      <c r="O195" s="14">
        <f>IF($C195="","",IF($L195=0,0,$N195/$L195))</f>
        <v/>
      </c>
      <c r="P195" s="15">
        <f>IF($C195="","",IF($D195="매수",0,MIN($E195,$K195)*$F195-IF($K195=0,0,$M195/$K195)*MIN($E195,$K195)-$G195))</f>
        <v/>
      </c>
    </row>
    <row r="196">
      <c r="A196" s="13" t="n"/>
      <c r="B196" s="9" t="n"/>
      <c r="C196" s="9" t="n"/>
      <c r="D196" s="9" t="n"/>
      <c r="E196" s="10" t="n"/>
      <c r="F196" s="10" t="n"/>
      <c r="G196" s="10" t="n"/>
      <c r="H196" s="9" t="n"/>
      <c r="I196" s="9" t="n"/>
      <c r="K196" s="14">
        <f>IF($C196="","",IFERROR(LOOKUP(2,1/($C$4:$C195=$C196),$L$4:$L195),0))</f>
        <v/>
      </c>
      <c r="L196" s="14">
        <f>IF($C196="","",IF($D196="매수",$K196+$E196,MAX(0,$K196-$E196)))</f>
        <v/>
      </c>
      <c r="M196" s="15">
        <f>IF($C196="","",IFERROR(LOOKUP(2,1/($C$4:$C195=$C196),$N$4:$N195),0))</f>
        <v/>
      </c>
      <c r="N196" s="15">
        <f>IF($C196="","",IF($D196="매수",$M196+$E196*$F196+$G196,$M196-IF($K196=0,0,$M196/$K196)*MIN($E196,$K196)))</f>
        <v/>
      </c>
      <c r="O196" s="14">
        <f>IF($C196="","",IF($L196=0,0,$N196/$L196))</f>
        <v/>
      </c>
      <c r="P196" s="15">
        <f>IF($C196="","",IF($D196="매수",0,MIN($E196,$K196)*$F196-IF($K196=0,0,$M196/$K196)*MIN($E196,$K196)-$G196))</f>
        <v/>
      </c>
    </row>
    <row r="197">
      <c r="A197" s="13" t="n"/>
      <c r="B197" s="9" t="n"/>
      <c r="C197" s="9" t="n"/>
      <c r="D197" s="9" t="n"/>
      <c r="E197" s="10" t="n"/>
      <c r="F197" s="10" t="n"/>
      <c r="G197" s="10" t="n"/>
      <c r="H197" s="9" t="n"/>
      <c r="I197" s="9" t="n"/>
      <c r="K197" s="14">
        <f>IF($C197="","",IFERROR(LOOKUP(2,1/($C$4:$C196=$C197),$L$4:$L196),0))</f>
        <v/>
      </c>
      <c r="L197" s="14">
        <f>IF($C197="","",IF($D197="매수",$K197+$E197,MAX(0,$K197-$E197)))</f>
        <v/>
      </c>
      <c r="M197" s="15">
        <f>IF($C197="","",IFERROR(LOOKUP(2,1/($C$4:$C196=$C197),$N$4:$N196),0))</f>
        <v/>
      </c>
      <c r="N197" s="15">
        <f>IF($C197="","",IF($D197="매수",$M197+$E197*$F197+$G197,$M197-IF($K197=0,0,$M197/$K197)*MIN($E197,$K197)))</f>
        <v/>
      </c>
      <c r="O197" s="14">
        <f>IF($C197="","",IF($L197=0,0,$N197/$L197))</f>
        <v/>
      </c>
      <c r="P197" s="15">
        <f>IF($C197="","",IF($D197="매수",0,MIN($E197,$K197)*$F197-IF($K197=0,0,$M197/$K197)*MIN($E197,$K197)-$G197))</f>
        <v/>
      </c>
    </row>
    <row r="198">
      <c r="A198" s="13" t="n"/>
      <c r="B198" s="9" t="n"/>
      <c r="C198" s="9" t="n"/>
      <c r="D198" s="9" t="n"/>
      <c r="E198" s="10" t="n"/>
      <c r="F198" s="10" t="n"/>
      <c r="G198" s="10" t="n"/>
      <c r="H198" s="9" t="n"/>
      <c r="I198" s="9" t="n"/>
      <c r="K198" s="14">
        <f>IF($C198="","",IFERROR(LOOKUP(2,1/($C$4:$C197=$C198),$L$4:$L197),0))</f>
        <v/>
      </c>
      <c r="L198" s="14">
        <f>IF($C198="","",IF($D198="매수",$K198+$E198,MAX(0,$K198-$E198)))</f>
        <v/>
      </c>
      <c r="M198" s="15">
        <f>IF($C198="","",IFERROR(LOOKUP(2,1/($C$4:$C197=$C198),$N$4:$N197),0))</f>
        <v/>
      </c>
      <c r="N198" s="15">
        <f>IF($C198="","",IF($D198="매수",$M198+$E198*$F198+$G198,$M198-IF($K198=0,0,$M198/$K198)*MIN($E198,$K198)))</f>
        <v/>
      </c>
      <c r="O198" s="14">
        <f>IF($C198="","",IF($L198=0,0,$N198/$L198))</f>
        <v/>
      </c>
      <c r="P198" s="15">
        <f>IF($C198="","",IF($D198="매수",0,MIN($E198,$K198)*$F198-IF($K198=0,0,$M198/$K198)*MIN($E198,$K198)-$G198))</f>
        <v/>
      </c>
    </row>
    <row r="199">
      <c r="A199" s="13" t="n"/>
      <c r="B199" s="9" t="n"/>
      <c r="C199" s="9" t="n"/>
      <c r="D199" s="9" t="n"/>
      <c r="E199" s="10" t="n"/>
      <c r="F199" s="10" t="n"/>
      <c r="G199" s="10" t="n"/>
      <c r="H199" s="9" t="n"/>
      <c r="I199" s="9" t="n"/>
      <c r="K199" s="14">
        <f>IF($C199="","",IFERROR(LOOKUP(2,1/($C$4:$C198=$C199),$L$4:$L198),0))</f>
        <v/>
      </c>
      <c r="L199" s="14">
        <f>IF($C199="","",IF($D199="매수",$K199+$E199,MAX(0,$K199-$E199)))</f>
        <v/>
      </c>
      <c r="M199" s="15">
        <f>IF($C199="","",IFERROR(LOOKUP(2,1/($C$4:$C198=$C199),$N$4:$N198),0))</f>
        <v/>
      </c>
      <c r="N199" s="15">
        <f>IF($C199="","",IF($D199="매수",$M199+$E199*$F199+$G199,$M199-IF($K199=0,0,$M199/$K199)*MIN($E199,$K199)))</f>
        <v/>
      </c>
      <c r="O199" s="14">
        <f>IF($C199="","",IF($L199=0,0,$N199/$L199))</f>
        <v/>
      </c>
      <c r="P199" s="15">
        <f>IF($C199="","",IF($D199="매수",0,MIN($E199,$K199)*$F199-IF($K199=0,0,$M199/$K199)*MIN($E199,$K199)-$G199))</f>
        <v/>
      </c>
    </row>
    <row r="200">
      <c r="A200" s="13" t="n"/>
      <c r="B200" s="9" t="n"/>
      <c r="C200" s="9" t="n"/>
      <c r="D200" s="9" t="n"/>
      <c r="E200" s="10" t="n"/>
      <c r="F200" s="10" t="n"/>
      <c r="G200" s="10" t="n"/>
      <c r="H200" s="9" t="n"/>
      <c r="I200" s="9" t="n"/>
      <c r="K200" s="14">
        <f>IF($C200="","",IFERROR(LOOKUP(2,1/($C$4:$C199=$C200),$L$4:$L199),0))</f>
        <v/>
      </c>
      <c r="L200" s="14">
        <f>IF($C200="","",IF($D200="매수",$K200+$E200,MAX(0,$K200-$E200)))</f>
        <v/>
      </c>
      <c r="M200" s="15">
        <f>IF($C200="","",IFERROR(LOOKUP(2,1/($C$4:$C199=$C200),$N$4:$N199),0))</f>
        <v/>
      </c>
      <c r="N200" s="15">
        <f>IF($C200="","",IF($D200="매수",$M200+$E200*$F200+$G200,$M200-IF($K200=0,0,$M200/$K200)*MIN($E200,$K200)))</f>
        <v/>
      </c>
      <c r="O200" s="14">
        <f>IF($C200="","",IF($L200=0,0,$N200/$L200))</f>
        <v/>
      </c>
      <c r="P200" s="15">
        <f>IF($C200="","",IF($D200="매수",0,MIN($E200,$K200)*$F200-IF($K200=0,0,$M200/$K200)*MIN($E200,$K200)-$G200))</f>
        <v/>
      </c>
    </row>
    <row r="201">
      <c r="A201" s="13" t="n"/>
      <c r="B201" s="9" t="n"/>
      <c r="C201" s="9" t="n"/>
      <c r="D201" s="9" t="n"/>
      <c r="E201" s="10" t="n"/>
      <c r="F201" s="10" t="n"/>
      <c r="G201" s="10" t="n"/>
      <c r="H201" s="9" t="n"/>
      <c r="I201" s="9" t="n"/>
      <c r="K201" s="14">
        <f>IF($C201="","",IFERROR(LOOKUP(2,1/($C$4:$C200=$C201),$L$4:$L200),0))</f>
        <v/>
      </c>
      <c r="L201" s="14">
        <f>IF($C201="","",IF($D201="매수",$K201+$E201,MAX(0,$K201-$E201)))</f>
        <v/>
      </c>
      <c r="M201" s="15">
        <f>IF($C201="","",IFERROR(LOOKUP(2,1/($C$4:$C200=$C201),$N$4:$N200),0))</f>
        <v/>
      </c>
      <c r="N201" s="15">
        <f>IF($C201="","",IF($D201="매수",$M201+$E201*$F201+$G201,$M201-IF($K201=0,0,$M201/$K201)*MIN($E201,$K201)))</f>
        <v/>
      </c>
      <c r="O201" s="14">
        <f>IF($C201="","",IF($L201=0,0,$N201/$L201))</f>
        <v/>
      </c>
      <c r="P201" s="15">
        <f>IF($C201="","",IF($D201="매수",0,MIN($E201,$K201)*$F201-IF($K201=0,0,$M201/$K201)*MIN($E201,$K201)-$G201))</f>
        <v/>
      </c>
    </row>
    <row r="202">
      <c r="A202" s="13" t="n"/>
      <c r="B202" s="9" t="n"/>
      <c r="C202" s="9" t="n"/>
      <c r="D202" s="9" t="n"/>
      <c r="E202" s="10" t="n"/>
      <c r="F202" s="10" t="n"/>
      <c r="G202" s="10" t="n"/>
      <c r="H202" s="9" t="n"/>
      <c r="I202" s="9" t="n"/>
      <c r="K202" s="14">
        <f>IF($C202="","",IFERROR(LOOKUP(2,1/($C$4:$C201=$C202),$L$4:$L201),0))</f>
        <v/>
      </c>
      <c r="L202" s="14">
        <f>IF($C202="","",IF($D202="매수",$K202+$E202,MAX(0,$K202-$E202)))</f>
        <v/>
      </c>
      <c r="M202" s="15">
        <f>IF($C202="","",IFERROR(LOOKUP(2,1/($C$4:$C201=$C202),$N$4:$N201),0))</f>
        <v/>
      </c>
      <c r="N202" s="15">
        <f>IF($C202="","",IF($D202="매수",$M202+$E202*$F202+$G202,$M202-IF($K202=0,0,$M202/$K202)*MIN($E202,$K202)))</f>
        <v/>
      </c>
      <c r="O202" s="14">
        <f>IF($C202="","",IF($L202=0,0,$N202/$L202))</f>
        <v/>
      </c>
      <c r="P202" s="15">
        <f>IF($C202="","",IF($D202="매수",0,MIN($E202,$K202)*$F202-IF($K202=0,0,$M202/$K202)*MIN($E202,$K202)-$G202))</f>
        <v/>
      </c>
    </row>
    <row r="203">
      <c r="A203" s="13" t="n"/>
      <c r="B203" s="9" t="n"/>
      <c r="C203" s="9" t="n"/>
      <c r="D203" s="9" t="n"/>
      <c r="E203" s="10" t="n"/>
      <c r="F203" s="10" t="n"/>
      <c r="G203" s="10" t="n"/>
      <c r="H203" s="9" t="n"/>
      <c r="I203" s="9" t="n"/>
      <c r="K203" s="14">
        <f>IF($C203="","",IFERROR(LOOKUP(2,1/($C$4:$C202=$C203),$L$4:$L202),0))</f>
        <v/>
      </c>
      <c r="L203" s="14">
        <f>IF($C203="","",IF($D203="매수",$K203+$E203,MAX(0,$K203-$E203)))</f>
        <v/>
      </c>
      <c r="M203" s="15">
        <f>IF($C203="","",IFERROR(LOOKUP(2,1/($C$4:$C202=$C203),$N$4:$N202),0))</f>
        <v/>
      </c>
      <c r="N203" s="15">
        <f>IF($C203="","",IF($D203="매수",$M203+$E203*$F203+$G203,$M203-IF($K203=0,0,$M203/$K203)*MIN($E203,$K203)))</f>
        <v/>
      </c>
      <c r="O203" s="14">
        <f>IF($C203="","",IF($L203=0,0,$N203/$L203))</f>
        <v/>
      </c>
      <c r="P203" s="15">
        <f>IF($C203="","",IF($D203="매수",0,MIN($E203,$K203)*$F203-IF($K203=0,0,$M203/$K203)*MIN($E203,$K203)-$G203))</f>
        <v/>
      </c>
    </row>
    <row r="204">
      <c r="A204" s="13" t="n"/>
      <c r="B204" s="9" t="n"/>
      <c r="C204" s="9" t="n"/>
      <c r="D204" s="9" t="n"/>
      <c r="E204" s="10" t="n"/>
      <c r="F204" s="10" t="n"/>
      <c r="G204" s="10" t="n"/>
      <c r="H204" s="9" t="n"/>
      <c r="I204" s="9" t="n"/>
      <c r="K204" s="14">
        <f>IF($C204="","",IFERROR(LOOKUP(2,1/($C$4:$C203=$C204),$L$4:$L203),0))</f>
        <v/>
      </c>
      <c r="L204" s="14">
        <f>IF($C204="","",IF($D204="매수",$K204+$E204,MAX(0,$K204-$E204)))</f>
        <v/>
      </c>
      <c r="M204" s="15">
        <f>IF($C204="","",IFERROR(LOOKUP(2,1/($C$4:$C203=$C204),$N$4:$N203),0))</f>
        <v/>
      </c>
      <c r="N204" s="15">
        <f>IF($C204="","",IF($D204="매수",$M204+$E204*$F204+$G204,$M204-IF($K204=0,0,$M204/$K204)*MIN($E204,$K204)))</f>
        <v/>
      </c>
      <c r="O204" s="14">
        <f>IF($C204="","",IF($L204=0,0,$N204/$L204))</f>
        <v/>
      </c>
      <c r="P204" s="15">
        <f>IF($C204="","",IF($D204="매수",0,MIN($E204,$K204)*$F204-IF($K204=0,0,$M204/$K204)*MIN($E204,$K204)-$G204))</f>
        <v/>
      </c>
    </row>
    <row r="205">
      <c r="A205" s="13" t="n"/>
      <c r="B205" s="9" t="n"/>
      <c r="C205" s="9" t="n"/>
      <c r="D205" s="9" t="n"/>
      <c r="E205" s="10" t="n"/>
      <c r="F205" s="10" t="n"/>
      <c r="G205" s="10" t="n"/>
      <c r="H205" s="9" t="n"/>
      <c r="I205" s="9" t="n"/>
      <c r="K205" s="14">
        <f>IF($C205="","",IFERROR(LOOKUP(2,1/($C$4:$C204=$C205),$L$4:$L204),0))</f>
        <v/>
      </c>
      <c r="L205" s="14">
        <f>IF($C205="","",IF($D205="매수",$K205+$E205,MAX(0,$K205-$E205)))</f>
        <v/>
      </c>
      <c r="M205" s="15">
        <f>IF($C205="","",IFERROR(LOOKUP(2,1/($C$4:$C204=$C205),$N$4:$N204),0))</f>
        <v/>
      </c>
      <c r="N205" s="15">
        <f>IF($C205="","",IF($D205="매수",$M205+$E205*$F205+$G205,$M205-IF($K205=0,0,$M205/$K205)*MIN($E205,$K205)))</f>
        <v/>
      </c>
      <c r="O205" s="14">
        <f>IF($C205="","",IF($L205=0,0,$N205/$L205))</f>
        <v/>
      </c>
      <c r="P205" s="15">
        <f>IF($C205="","",IF($D205="매수",0,MIN($E205,$K205)*$F205-IF($K205=0,0,$M205/$K205)*MIN($E205,$K205)-$G205))</f>
        <v/>
      </c>
    </row>
    <row r="206">
      <c r="A206" s="13" t="n"/>
      <c r="B206" s="9" t="n"/>
      <c r="C206" s="9" t="n"/>
      <c r="D206" s="9" t="n"/>
      <c r="E206" s="10" t="n"/>
      <c r="F206" s="10" t="n"/>
      <c r="G206" s="10" t="n"/>
      <c r="H206" s="9" t="n"/>
      <c r="I206" s="9" t="n"/>
      <c r="K206" s="14">
        <f>IF($C206="","",IFERROR(LOOKUP(2,1/($C$4:$C205=$C206),$L$4:$L205),0))</f>
        <v/>
      </c>
      <c r="L206" s="14">
        <f>IF($C206="","",IF($D206="매수",$K206+$E206,MAX(0,$K206-$E206)))</f>
        <v/>
      </c>
      <c r="M206" s="15">
        <f>IF($C206="","",IFERROR(LOOKUP(2,1/($C$4:$C205=$C206),$N$4:$N205),0))</f>
        <v/>
      </c>
      <c r="N206" s="15">
        <f>IF($C206="","",IF($D206="매수",$M206+$E206*$F206+$G206,$M206-IF($K206=0,0,$M206/$K206)*MIN($E206,$K206)))</f>
        <v/>
      </c>
      <c r="O206" s="14">
        <f>IF($C206="","",IF($L206=0,0,$N206/$L206))</f>
        <v/>
      </c>
      <c r="P206" s="15">
        <f>IF($C206="","",IF($D206="매수",0,MIN($E206,$K206)*$F206-IF($K206=0,0,$M206/$K206)*MIN($E206,$K206)-$G206))</f>
        <v/>
      </c>
    </row>
    <row r="207">
      <c r="A207" s="13" t="n"/>
      <c r="B207" s="9" t="n"/>
      <c r="C207" s="9" t="n"/>
      <c r="D207" s="9" t="n"/>
      <c r="E207" s="10" t="n"/>
      <c r="F207" s="10" t="n"/>
      <c r="G207" s="10" t="n"/>
      <c r="H207" s="9" t="n"/>
      <c r="I207" s="9" t="n"/>
      <c r="K207" s="14">
        <f>IF($C207="","",IFERROR(LOOKUP(2,1/($C$4:$C206=$C207),$L$4:$L206),0))</f>
        <v/>
      </c>
      <c r="L207" s="14">
        <f>IF($C207="","",IF($D207="매수",$K207+$E207,MAX(0,$K207-$E207)))</f>
        <v/>
      </c>
      <c r="M207" s="15">
        <f>IF($C207="","",IFERROR(LOOKUP(2,1/($C$4:$C206=$C207),$N$4:$N206),0))</f>
        <v/>
      </c>
      <c r="N207" s="15">
        <f>IF($C207="","",IF($D207="매수",$M207+$E207*$F207+$G207,$M207-IF($K207=0,0,$M207/$K207)*MIN($E207,$K207)))</f>
        <v/>
      </c>
      <c r="O207" s="14">
        <f>IF($C207="","",IF($L207=0,0,$N207/$L207))</f>
        <v/>
      </c>
      <c r="P207" s="15">
        <f>IF($C207="","",IF($D207="매수",0,MIN($E207,$K207)*$F207-IF($K207=0,0,$M207/$K207)*MIN($E207,$K207)-$G207))</f>
        <v/>
      </c>
    </row>
    <row r="208">
      <c r="A208" s="13" t="n"/>
      <c r="B208" s="9" t="n"/>
      <c r="C208" s="9" t="n"/>
      <c r="D208" s="9" t="n"/>
      <c r="E208" s="10" t="n"/>
      <c r="F208" s="10" t="n"/>
      <c r="G208" s="10" t="n"/>
      <c r="H208" s="9" t="n"/>
      <c r="I208" s="9" t="n"/>
      <c r="K208" s="14">
        <f>IF($C208="","",IFERROR(LOOKUP(2,1/($C$4:$C207=$C208),$L$4:$L207),0))</f>
        <v/>
      </c>
      <c r="L208" s="14">
        <f>IF($C208="","",IF($D208="매수",$K208+$E208,MAX(0,$K208-$E208)))</f>
        <v/>
      </c>
      <c r="M208" s="15">
        <f>IF($C208="","",IFERROR(LOOKUP(2,1/($C$4:$C207=$C208),$N$4:$N207),0))</f>
        <v/>
      </c>
      <c r="N208" s="15">
        <f>IF($C208="","",IF($D208="매수",$M208+$E208*$F208+$G208,$M208-IF($K208=0,0,$M208/$K208)*MIN($E208,$K208)))</f>
        <v/>
      </c>
      <c r="O208" s="14">
        <f>IF($C208="","",IF($L208=0,0,$N208/$L208))</f>
        <v/>
      </c>
      <c r="P208" s="15">
        <f>IF($C208="","",IF($D208="매수",0,MIN($E208,$K208)*$F208-IF($K208=0,0,$M208/$K208)*MIN($E208,$K208)-$G208))</f>
        <v/>
      </c>
    </row>
    <row r="209">
      <c r="A209" s="13" t="n"/>
      <c r="B209" s="9" t="n"/>
      <c r="C209" s="9" t="n"/>
      <c r="D209" s="9" t="n"/>
      <c r="E209" s="10" t="n"/>
      <c r="F209" s="10" t="n"/>
      <c r="G209" s="10" t="n"/>
      <c r="H209" s="9" t="n"/>
      <c r="I209" s="9" t="n"/>
      <c r="K209" s="14">
        <f>IF($C209="","",IFERROR(LOOKUP(2,1/($C$4:$C208=$C209),$L$4:$L208),0))</f>
        <v/>
      </c>
      <c r="L209" s="14">
        <f>IF($C209="","",IF($D209="매수",$K209+$E209,MAX(0,$K209-$E209)))</f>
        <v/>
      </c>
      <c r="M209" s="15">
        <f>IF($C209="","",IFERROR(LOOKUP(2,1/($C$4:$C208=$C209),$N$4:$N208),0))</f>
        <v/>
      </c>
      <c r="N209" s="15">
        <f>IF($C209="","",IF($D209="매수",$M209+$E209*$F209+$G209,$M209-IF($K209=0,0,$M209/$K209)*MIN($E209,$K209)))</f>
        <v/>
      </c>
      <c r="O209" s="14">
        <f>IF($C209="","",IF($L209=0,0,$N209/$L209))</f>
        <v/>
      </c>
      <c r="P209" s="15">
        <f>IF($C209="","",IF($D209="매수",0,MIN($E209,$K209)*$F209-IF($K209=0,0,$M209/$K209)*MIN($E209,$K209)-$G209))</f>
        <v/>
      </c>
    </row>
    <row r="210">
      <c r="A210" s="13" t="n"/>
      <c r="B210" s="9" t="n"/>
      <c r="C210" s="9" t="n"/>
      <c r="D210" s="9" t="n"/>
      <c r="E210" s="10" t="n"/>
      <c r="F210" s="10" t="n"/>
      <c r="G210" s="10" t="n"/>
      <c r="H210" s="9" t="n"/>
      <c r="I210" s="9" t="n"/>
      <c r="K210" s="14">
        <f>IF($C210="","",IFERROR(LOOKUP(2,1/($C$4:$C209=$C210),$L$4:$L209),0))</f>
        <v/>
      </c>
      <c r="L210" s="14">
        <f>IF($C210="","",IF($D210="매수",$K210+$E210,MAX(0,$K210-$E210)))</f>
        <v/>
      </c>
      <c r="M210" s="15">
        <f>IF($C210="","",IFERROR(LOOKUP(2,1/($C$4:$C209=$C210),$N$4:$N209),0))</f>
        <v/>
      </c>
      <c r="N210" s="15">
        <f>IF($C210="","",IF($D210="매수",$M210+$E210*$F210+$G210,$M210-IF($K210=0,0,$M210/$K210)*MIN($E210,$K210)))</f>
        <v/>
      </c>
      <c r="O210" s="14">
        <f>IF($C210="","",IF($L210=0,0,$N210/$L210))</f>
        <v/>
      </c>
      <c r="P210" s="15">
        <f>IF($C210="","",IF($D210="매수",0,MIN($E210,$K210)*$F210-IF($K210=0,0,$M210/$K210)*MIN($E210,$K210)-$G210))</f>
        <v/>
      </c>
    </row>
    <row r="211">
      <c r="A211" s="13" t="n"/>
      <c r="B211" s="9" t="n"/>
      <c r="C211" s="9" t="n"/>
      <c r="D211" s="9" t="n"/>
      <c r="E211" s="10" t="n"/>
      <c r="F211" s="10" t="n"/>
      <c r="G211" s="10" t="n"/>
      <c r="H211" s="9" t="n"/>
      <c r="I211" s="9" t="n"/>
      <c r="K211" s="14">
        <f>IF($C211="","",IFERROR(LOOKUP(2,1/($C$4:$C210=$C211),$L$4:$L210),0))</f>
        <v/>
      </c>
      <c r="L211" s="14">
        <f>IF($C211="","",IF($D211="매수",$K211+$E211,MAX(0,$K211-$E211)))</f>
        <v/>
      </c>
      <c r="M211" s="15">
        <f>IF($C211="","",IFERROR(LOOKUP(2,1/($C$4:$C210=$C211),$N$4:$N210),0))</f>
        <v/>
      </c>
      <c r="N211" s="15">
        <f>IF($C211="","",IF($D211="매수",$M211+$E211*$F211+$G211,$M211-IF($K211=0,0,$M211/$K211)*MIN($E211,$K211)))</f>
        <v/>
      </c>
      <c r="O211" s="14">
        <f>IF($C211="","",IF($L211=0,0,$N211/$L211))</f>
        <v/>
      </c>
      <c r="P211" s="15">
        <f>IF($C211="","",IF($D211="매수",0,MIN($E211,$K211)*$F211-IF($K211=0,0,$M211/$K211)*MIN($E211,$K211)-$G211))</f>
        <v/>
      </c>
    </row>
    <row r="212">
      <c r="A212" s="13" t="n"/>
      <c r="B212" s="9" t="n"/>
      <c r="C212" s="9" t="n"/>
      <c r="D212" s="9" t="n"/>
      <c r="E212" s="10" t="n"/>
      <c r="F212" s="10" t="n"/>
      <c r="G212" s="10" t="n"/>
      <c r="H212" s="9" t="n"/>
      <c r="I212" s="9" t="n"/>
      <c r="K212" s="14">
        <f>IF($C212="","",IFERROR(LOOKUP(2,1/($C$4:$C211=$C212),$L$4:$L211),0))</f>
        <v/>
      </c>
      <c r="L212" s="14">
        <f>IF($C212="","",IF($D212="매수",$K212+$E212,MAX(0,$K212-$E212)))</f>
        <v/>
      </c>
      <c r="M212" s="15">
        <f>IF($C212="","",IFERROR(LOOKUP(2,1/($C$4:$C211=$C212),$N$4:$N211),0))</f>
        <v/>
      </c>
      <c r="N212" s="15">
        <f>IF($C212="","",IF($D212="매수",$M212+$E212*$F212+$G212,$M212-IF($K212=0,0,$M212/$K212)*MIN($E212,$K212)))</f>
        <v/>
      </c>
      <c r="O212" s="14">
        <f>IF($C212="","",IF($L212=0,0,$N212/$L212))</f>
        <v/>
      </c>
      <c r="P212" s="15">
        <f>IF($C212="","",IF($D212="매수",0,MIN($E212,$K212)*$F212-IF($K212=0,0,$M212/$K212)*MIN($E212,$K212)-$G212))</f>
        <v/>
      </c>
    </row>
    <row r="213">
      <c r="A213" s="13" t="n"/>
      <c r="B213" s="9" t="n"/>
      <c r="C213" s="9" t="n"/>
      <c r="D213" s="9" t="n"/>
      <c r="E213" s="10" t="n"/>
      <c r="F213" s="10" t="n"/>
      <c r="G213" s="10" t="n"/>
      <c r="H213" s="9" t="n"/>
      <c r="I213" s="9" t="n"/>
      <c r="K213" s="14">
        <f>IF($C213="","",IFERROR(LOOKUP(2,1/($C$4:$C212=$C213),$L$4:$L212),0))</f>
        <v/>
      </c>
      <c r="L213" s="14">
        <f>IF($C213="","",IF($D213="매수",$K213+$E213,MAX(0,$K213-$E213)))</f>
        <v/>
      </c>
      <c r="M213" s="15">
        <f>IF($C213="","",IFERROR(LOOKUP(2,1/($C$4:$C212=$C213),$N$4:$N212),0))</f>
        <v/>
      </c>
      <c r="N213" s="15">
        <f>IF($C213="","",IF($D213="매수",$M213+$E213*$F213+$G213,$M213-IF($K213=0,0,$M213/$K213)*MIN($E213,$K213)))</f>
        <v/>
      </c>
      <c r="O213" s="14">
        <f>IF($C213="","",IF($L213=0,0,$N213/$L213))</f>
        <v/>
      </c>
      <c r="P213" s="15">
        <f>IF($C213="","",IF($D213="매수",0,MIN($E213,$K213)*$F213-IF($K213=0,0,$M213/$K213)*MIN($E213,$K213)-$G213))</f>
        <v/>
      </c>
    </row>
    <row r="214">
      <c r="A214" s="13" t="n"/>
      <c r="B214" s="9" t="n"/>
      <c r="C214" s="9" t="n"/>
      <c r="D214" s="9" t="n"/>
      <c r="E214" s="10" t="n"/>
      <c r="F214" s="10" t="n"/>
      <c r="G214" s="10" t="n"/>
      <c r="H214" s="9" t="n"/>
      <c r="I214" s="9" t="n"/>
      <c r="K214" s="14">
        <f>IF($C214="","",IFERROR(LOOKUP(2,1/($C$4:$C213=$C214),$L$4:$L213),0))</f>
        <v/>
      </c>
      <c r="L214" s="14">
        <f>IF($C214="","",IF($D214="매수",$K214+$E214,MAX(0,$K214-$E214)))</f>
        <v/>
      </c>
      <c r="M214" s="15">
        <f>IF($C214="","",IFERROR(LOOKUP(2,1/($C$4:$C213=$C214),$N$4:$N213),0))</f>
        <v/>
      </c>
      <c r="N214" s="15">
        <f>IF($C214="","",IF($D214="매수",$M214+$E214*$F214+$G214,$M214-IF($K214=0,0,$M214/$K214)*MIN($E214,$K214)))</f>
        <v/>
      </c>
      <c r="O214" s="14">
        <f>IF($C214="","",IF($L214=0,0,$N214/$L214))</f>
        <v/>
      </c>
      <c r="P214" s="15">
        <f>IF($C214="","",IF($D214="매수",0,MIN($E214,$K214)*$F214-IF($K214=0,0,$M214/$K214)*MIN($E214,$K214)-$G214))</f>
        <v/>
      </c>
    </row>
    <row r="215">
      <c r="A215" s="13" t="n"/>
      <c r="B215" s="9" t="n"/>
      <c r="C215" s="9" t="n"/>
      <c r="D215" s="9" t="n"/>
      <c r="E215" s="10" t="n"/>
      <c r="F215" s="10" t="n"/>
      <c r="G215" s="10" t="n"/>
      <c r="H215" s="9" t="n"/>
      <c r="I215" s="9" t="n"/>
      <c r="K215" s="14">
        <f>IF($C215="","",IFERROR(LOOKUP(2,1/($C$4:$C214=$C215),$L$4:$L214),0))</f>
        <v/>
      </c>
      <c r="L215" s="14">
        <f>IF($C215="","",IF($D215="매수",$K215+$E215,MAX(0,$K215-$E215)))</f>
        <v/>
      </c>
      <c r="M215" s="15">
        <f>IF($C215="","",IFERROR(LOOKUP(2,1/($C$4:$C214=$C215),$N$4:$N214),0))</f>
        <v/>
      </c>
      <c r="N215" s="15">
        <f>IF($C215="","",IF($D215="매수",$M215+$E215*$F215+$G215,$M215-IF($K215=0,0,$M215/$K215)*MIN($E215,$K215)))</f>
        <v/>
      </c>
      <c r="O215" s="14">
        <f>IF($C215="","",IF($L215=0,0,$N215/$L215))</f>
        <v/>
      </c>
      <c r="P215" s="15">
        <f>IF($C215="","",IF($D215="매수",0,MIN($E215,$K215)*$F215-IF($K215=0,0,$M215/$K215)*MIN($E215,$K215)-$G215))</f>
        <v/>
      </c>
    </row>
    <row r="216">
      <c r="A216" s="13" t="n"/>
      <c r="B216" s="9" t="n"/>
      <c r="C216" s="9" t="n"/>
      <c r="D216" s="9" t="n"/>
      <c r="E216" s="10" t="n"/>
      <c r="F216" s="10" t="n"/>
      <c r="G216" s="10" t="n"/>
      <c r="H216" s="9" t="n"/>
      <c r="I216" s="9" t="n"/>
      <c r="K216" s="14">
        <f>IF($C216="","",IFERROR(LOOKUP(2,1/($C$4:$C215=$C216),$L$4:$L215),0))</f>
        <v/>
      </c>
      <c r="L216" s="14">
        <f>IF($C216="","",IF($D216="매수",$K216+$E216,MAX(0,$K216-$E216)))</f>
        <v/>
      </c>
      <c r="M216" s="15">
        <f>IF($C216="","",IFERROR(LOOKUP(2,1/($C$4:$C215=$C216),$N$4:$N215),0))</f>
        <v/>
      </c>
      <c r="N216" s="15">
        <f>IF($C216="","",IF($D216="매수",$M216+$E216*$F216+$G216,$M216-IF($K216=0,0,$M216/$K216)*MIN($E216,$K216)))</f>
        <v/>
      </c>
      <c r="O216" s="14">
        <f>IF($C216="","",IF($L216=0,0,$N216/$L216))</f>
        <v/>
      </c>
      <c r="P216" s="15">
        <f>IF($C216="","",IF($D216="매수",0,MIN($E216,$K216)*$F216-IF($K216=0,0,$M216/$K216)*MIN($E216,$K216)-$G216))</f>
        <v/>
      </c>
    </row>
    <row r="217">
      <c r="A217" s="13" t="n"/>
      <c r="B217" s="9" t="n"/>
      <c r="C217" s="9" t="n"/>
      <c r="D217" s="9" t="n"/>
      <c r="E217" s="10" t="n"/>
      <c r="F217" s="10" t="n"/>
      <c r="G217" s="10" t="n"/>
      <c r="H217" s="9" t="n"/>
      <c r="I217" s="9" t="n"/>
      <c r="K217" s="14">
        <f>IF($C217="","",IFERROR(LOOKUP(2,1/($C$4:$C216=$C217),$L$4:$L216),0))</f>
        <v/>
      </c>
      <c r="L217" s="14">
        <f>IF($C217="","",IF($D217="매수",$K217+$E217,MAX(0,$K217-$E217)))</f>
        <v/>
      </c>
      <c r="M217" s="15">
        <f>IF($C217="","",IFERROR(LOOKUP(2,1/($C$4:$C216=$C217),$N$4:$N216),0))</f>
        <v/>
      </c>
      <c r="N217" s="15">
        <f>IF($C217="","",IF($D217="매수",$M217+$E217*$F217+$G217,$M217-IF($K217=0,0,$M217/$K217)*MIN($E217,$K217)))</f>
        <v/>
      </c>
      <c r="O217" s="14">
        <f>IF($C217="","",IF($L217=0,0,$N217/$L217))</f>
        <v/>
      </c>
      <c r="P217" s="15">
        <f>IF($C217="","",IF($D217="매수",0,MIN($E217,$K217)*$F217-IF($K217=0,0,$M217/$K217)*MIN($E217,$K217)-$G217))</f>
        <v/>
      </c>
    </row>
    <row r="218">
      <c r="A218" s="13" t="n"/>
      <c r="B218" s="9" t="n"/>
      <c r="C218" s="9" t="n"/>
      <c r="D218" s="9" t="n"/>
      <c r="E218" s="10" t="n"/>
      <c r="F218" s="10" t="n"/>
      <c r="G218" s="10" t="n"/>
      <c r="H218" s="9" t="n"/>
      <c r="I218" s="9" t="n"/>
      <c r="K218" s="14">
        <f>IF($C218="","",IFERROR(LOOKUP(2,1/($C$4:$C217=$C218),$L$4:$L217),0))</f>
        <v/>
      </c>
      <c r="L218" s="14">
        <f>IF($C218="","",IF($D218="매수",$K218+$E218,MAX(0,$K218-$E218)))</f>
        <v/>
      </c>
      <c r="M218" s="15">
        <f>IF($C218="","",IFERROR(LOOKUP(2,1/($C$4:$C217=$C218),$N$4:$N217),0))</f>
        <v/>
      </c>
      <c r="N218" s="15">
        <f>IF($C218="","",IF($D218="매수",$M218+$E218*$F218+$G218,$M218-IF($K218=0,0,$M218/$K218)*MIN($E218,$K218)))</f>
        <v/>
      </c>
      <c r="O218" s="14">
        <f>IF($C218="","",IF($L218=0,0,$N218/$L218))</f>
        <v/>
      </c>
      <c r="P218" s="15">
        <f>IF($C218="","",IF($D218="매수",0,MIN($E218,$K218)*$F218-IF($K218=0,0,$M218/$K218)*MIN($E218,$K218)-$G218))</f>
        <v/>
      </c>
    </row>
    <row r="219">
      <c r="A219" s="13" t="n"/>
      <c r="B219" s="9" t="n"/>
      <c r="C219" s="9" t="n"/>
      <c r="D219" s="9" t="n"/>
      <c r="E219" s="10" t="n"/>
      <c r="F219" s="10" t="n"/>
      <c r="G219" s="10" t="n"/>
      <c r="H219" s="9" t="n"/>
      <c r="I219" s="9" t="n"/>
      <c r="K219" s="14">
        <f>IF($C219="","",IFERROR(LOOKUP(2,1/($C$4:$C218=$C219),$L$4:$L218),0))</f>
        <v/>
      </c>
      <c r="L219" s="14">
        <f>IF($C219="","",IF($D219="매수",$K219+$E219,MAX(0,$K219-$E219)))</f>
        <v/>
      </c>
      <c r="M219" s="15">
        <f>IF($C219="","",IFERROR(LOOKUP(2,1/($C$4:$C218=$C219),$N$4:$N218),0))</f>
        <v/>
      </c>
      <c r="N219" s="15">
        <f>IF($C219="","",IF($D219="매수",$M219+$E219*$F219+$G219,$M219-IF($K219=0,0,$M219/$K219)*MIN($E219,$K219)))</f>
        <v/>
      </c>
      <c r="O219" s="14">
        <f>IF($C219="","",IF($L219=0,0,$N219/$L219))</f>
        <v/>
      </c>
      <c r="P219" s="15">
        <f>IF($C219="","",IF($D219="매수",0,MIN($E219,$K219)*$F219-IF($K219=0,0,$M219/$K219)*MIN($E219,$K219)-$G219))</f>
        <v/>
      </c>
    </row>
    <row r="220">
      <c r="A220" s="13" t="n"/>
      <c r="B220" s="9" t="n"/>
      <c r="C220" s="9" t="n"/>
      <c r="D220" s="9" t="n"/>
      <c r="E220" s="10" t="n"/>
      <c r="F220" s="10" t="n"/>
      <c r="G220" s="10" t="n"/>
      <c r="H220" s="9" t="n"/>
      <c r="I220" s="9" t="n"/>
      <c r="K220" s="14">
        <f>IF($C220="","",IFERROR(LOOKUP(2,1/($C$4:$C219=$C220),$L$4:$L219),0))</f>
        <v/>
      </c>
      <c r="L220" s="14">
        <f>IF($C220="","",IF($D220="매수",$K220+$E220,MAX(0,$K220-$E220)))</f>
        <v/>
      </c>
      <c r="M220" s="15">
        <f>IF($C220="","",IFERROR(LOOKUP(2,1/($C$4:$C219=$C220),$N$4:$N219),0))</f>
        <v/>
      </c>
      <c r="N220" s="15">
        <f>IF($C220="","",IF($D220="매수",$M220+$E220*$F220+$G220,$M220-IF($K220=0,0,$M220/$K220)*MIN($E220,$K220)))</f>
        <v/>
      </c>
      <c r="O220" s="14">
        <f>IF($C220="","",IF($L220=0,0,$N220/$L220))</f>
        <v/>
      </c>
      <c r="P220" s="15">
        <f>IF($C220="","",IF($D220="매수",0,MIN($E220,$K220)*$F220-IF($K220=0,0,$M220/$K220)*MIN($E220,$K220)-$G220))</f>
        <v/>
      </c>
    </row>
    <row r="221">
      <c r="A221" s="13" t="n"/>
      <c r="B221" s="9" t="n"/>
      <c r="C221" s="9" t="n"/>
      <c r="D221" s="9" t="n"/>
      <c r="E221" s="10" t="n"/>
      <c r="F221" s="10" t="n"/>
      <c r="G221" s="10" t="n"/>
      <c r="H221" s="9" t="n"/>
      <c r="I221" s="9" t="n"/>
      <c r="K221" s="14">
        <f>IF($C221="","",IFERROR(LOOKUP(2,1/($C$4:$C220=$C221),$L$4:$L220),0))</f>
        <v/>
      </c>
      <c r="L221" s="14">
        <f>IF($C221="","",IF($D221="매수",$K221+$E221,MAX(0,$K221-$E221)))</f>
        <v/>
      </c>
      <c r="M221" s="15">
        <f>IF($C221="","",IFERROR(LOOKUP(2,1/($C$4:$C220=$C221),$N$4:$N220),0))</f>
        <v/>
      </c>
      <c r="N221" s="15">
        <f>IF($C221="","",IF($D221="매수",$M221+$E221*$F221+$G221,$M221-IF($K221=0,0,$M221/$K221)*MIN($E221,$K221)))</f>
        <v/>
      </c>
      <c r="O221" s="14">
        <f>IF($C221="","",IF($L221=0,0,$N221/$L221))</f>
        <v/>
      </c>
      <c r="P221" s="15">
        <f>IF($C221="","",IF($D221="매수",0,MIN($E221,$K221)*$F221-IF($K221=0,0,$M221/$K221)*MIN($E221,$K221)-$G221))</f>
        <v/>
      </c>
    </row>
    <row r="222">
      <c r="A222" s="13" t="n"/>
      <c r="B222" s="9" t="n"/>
      <c r="C222" s="9" t="n"/>
      <c r="D222" s="9" t="n"/>
      <c r="E222" s="10" t="n"/>
      <c r="F222" s="10" t="n"/>
      <c r="G222" s="10" t="n"/>
      <c r="H222" s="9" t="n"/>
      <c r="I222" s="9" t="n"/>
      <c r="K222" s="14">
        <f>IF($C222="","",IFERROR(LOOKUP(2,1/($C$4:$C221=$C222),$L$4:$L221),0))</f>
        <v/>
      </c>
      <c r="L222" s="14">
        <f>IF($C222="","",IF($D222="매수",$K222+$E222,MAX(0,$K222-$E222)))</f>
        <v/>
      </c>
      <c r="M222" s="15">
        <f>IF($C222="","",IFERROR(LOOKUP(2,1/($C$4:$C221=$C222),$N$4:$N221),0))</f>
        <v/>
      </c>
      <c r="N222" s="15">
        <f>IF($C222="","",IF($D222="매수",$M222+$E222*$F222+$G222,$M222-IF($K222=0,0,$M222/$K222)*MIN($E222,$K222)))</f>
        <v/>
      </c>
      <c r="O222" s="14">
        <f>IF($C222="","",IF($L222=0,0,$N222/$L222))</f>
        <v/>
      </c>
      <c r="P222" s="15">
        <f>IF($C222="","",IF($D222="매수",0,MIN($E222,$K222)*$F222-IF($K222=0,0,$M222/$K222)*MIN($E222,$K222)-$G222))</f>
        <v/>
      </c>
    </row>
    <row r="223">
      <c r="A223" s="13" t="n"/>
      <c r="B223" s="9" t="n"/>
      <c r="C223" s="9" t="n"/>
      <c r="D223" s="9" t="n"/>
      <c r="E223" s="10" t="n"/>
      <c r="F223" s="10" t="n"/>
      <c r="G223" s="10" t="n"/>
      <c r="H223" s="9" t="n"/>
      <c r="I223" s="9" t="n"/>
      <c r="K223" s="14">
        <f>IF($C223="","",IFERROR(LOOKUP(2,1/($C$4:$C222=$C223),$L$4:$L222),0))</f>
        <v/>
      </c>
      <c r="L223" s="14">
        <f>IF($C223="","",IF($D223="매수",$K223+$E223,MAX(0,$K223-$E223)))</f>
        <v/>
      </c>
      <c r="M223" s="15">
        <f>IF($C223="","",IFERROR(LOOKUP(2,1/($C$4:$C222=$C223),$N$4:$N222),0))</f>
        <v/>
      </c>
      <c r="N223" s="15">
        <f>IF($C223="","",IF($D223="매수",$M223+$E223*$F223+$G223,$M223-IF($K223=0,0,$M223/$K223)*MIN($E223,$K223)))</f>
        <v/>
      </c>
      <c r="O223" s="14">
        <f>IF($C223="","",IF($L223=0,0,$N223/$L223))</f>
        <v/>
      </c>
      <c r="P223" s="15">
        <f>IF($C223="","",IF($D223="매수",0,MIN($E223,$K223)*$F223-IF($K223=0,0,$M223/$K223)*MIN($E223,$K223)-$G223))</f>
        <v/>
      </c>
    </row>
    <row r="224">
      <c r="A224" s="13" t="n"/>
      <c r="B224" s="9" t="n"/>
      <c r="C224" s="9" t="n"/>
      <c r="D224" s="9" t="n"/>
      <c r="E224" s="10" t="n"/>
      <c r="F224" s="10" t="n"/>
      <c r="G224" s="10" t="n"/>
      <c r="H224" s="9" t="n"/>
      <c r="I224" s="9" t="n"/>
      <c r="K224" s="14">
        <f>IF($C224="","",IFERROR(LOOKUP(2,1/($C$4:$C223=$C224),$L$4:$L223),0))</f>
        <v/>
      </c>
      <c r="L224" s="14">
        <f>IF($C224="","",IF($D224="매수",$K224+$E224,MAX(0,$K224-$E224)))</f>
        <v/>
      </c>
      <c r="M224" s="15">
        <f>IF($C224="","",IFERROR(LOOKUP(2,1/($C$4:$C223=$C224),$N$4:$N223),0))</f>
        <v/>
      </c>
      <c r="N224" s="15">
        <f>IF($C224="","",IF($D224="매수",$M224+$E224*$F224+$G224,$M224-IF($K224=0,0,$M224/$K224)*MIN($E224,$K224)))</f>
        <v/>
      </c>
      <c r="O224" s="14">
        <f>IF($C224="","",IF($L224=0,0,$N224/$L224))</f>
        <v/>
      </c>
      <c r="P224" s="15">
        <f>IF($C224="","",IF($D224="매수",0,MIN($E224,$K224)*$F224-IF($K224=0,0,$M224/$K224)*MIN($E224,$K224)-$G224))</f>
        <v/>
      </c>
    </row>
    <row r="225">
      <c r="A225" s="13" t="n"/>
      <c r="B225" s="9" t="n"/>
      <c r="C225" s="9" t="n"/>
      <c r="D225" s="9" t="n"/>
      <c r="E225" s="10" t="n"/>
      <c r="F225" s="10" t="n"/>
      <c r="G225" s="10" t="n"/>
      <c r="H225" s="9" t="n"/>
      <c r="I225" s="9" t="n"/>
      <c r="K225" s="14">
        <f>IF($C225="","",IFERROR(LOOKUP(2,1/($C$4:$C224=$C225),$L$4:$L224),0))</f>
        <v/>
      </c>
      <c r="L225" s="14">
        <f>IF($C225="","",IF($D225="매수",$K225+$E225,MAX(0,$K225-$E225)))</f>
        <v/>
      </c>
      <c r="M225" s="15">
        <f>IF($C225="","",IFERROR(LOOKUP(2,1/($C$4:$C224=$C225),$N$4:$N224),0))</f>
        <v/>
      </c>
      <c r="N225" s="15">
        <f>IF($C225="","",IF($D225="매수",$M225+$E225*$F225+$G225,$M225-IF($K225=0,0,$M225/$K225)*MIN($E225,$K225)))</f>
        <v/>
      </c>
      <c r="O225" s="14">
        <f>IF($C225="","",IF($L225=0,0,$N225/$L225))</f>
        <v/>
      </c>
      <c r="P225" s="15">
        <f>IF($C225="","",IF($D225="매수",0,MIN($E225,$K225)*$F225-IF($K225=0,0,$M225/$K225)*MIN($E225,$K225)-$G225))</f>
        <v/>
      </c>
    </row>
    <row r="226">
      <c r="A226" s="13" t="n"/>
      <c r="B226" s="9" t="n"/>
      <c r="C226" s="9" t="n"/>
      <c r="D226" s="9" t="n"/>
      <c r="E226" s="10" t="n"/>
      <c r="F226" s="10" t="n"/>
      <c r="G226" s="10" t="n"/>
      <c r="H226" s="9" t="n"/>
      <c r="I226" s="9" t="n"/>
      <c r="K226" s="14">
        <f>IF($C226="","",IFERROR(LOOKUP(2,1/($C$4:$C225=$C226),$L$4:$L225),0))</f>
        <v/>
      </c>
      <c r="L226" s="14">
        <f>IF($C226="","",IF($D226="매수",$K226+$E226,MAX(0,$K226-$E226)))</f>
        <v/>
      </c>
      <c r="M226" s="15">
        <f>IF($C226="","",IFERROR(LOOKUP(2,1/($C$4:$C225=$C226),$N$4:$N225),0))</f>
        <v/>
      </c>
      <c r="N226" s="15">
        <f>IF($C226="","",IF($D226="매수",$M226+$E226*$F226+$G226,$M226-IF($K226=0,0,$M226/$K226)*MIN($E226,$K226)))</f>
        <v/>
      </c>
      <c r="O226" s="14">
        <f>IF($C226="","",IF($L226=0,0,$N226/$L226))</f>
        <v/>
      </c>
      <c r="P226" s="15">
        <f>IF($C226="","",IF($D226="매수",0,MIN($E226,$K226)*$F226-IF($K226=0,0,$M226/$K226)*MIN($E226,$K226)-$G226))</f>
        <v/>
      </c>
    </row>
    <row r="227">
      <c r="A227" s="13" t="n"/>
      <c r="B227" s="9" t="n"/>
      <c r="C227" s="9" t="n"/>
      <c r="D227" s="9" t="n"/>
      <c r="E227" s="10" t="n"/>
      <c r="F227" s="10" t="n"/>
      <c r="G227" s="10" t="n"/>
      <c r="H227" s="9" t="n"/>
      <c r="I227" s="9" t="n"/>
      <c r="K227" s="14">
        <f>IF($C227="","",IFERROR(LOOKUP(2,1/($C$4:$C226=$C227),$L$4:$L226),0))</f>
        <v/>
      </c>
      <c r="L227" s="14">
        <f>IF($C227="","",IF($D227="매수",$K227+$E227,MAX(0,$K227-$E227)))</f>
        <v/>
      </c>
      <c r="M227" s="15">
        <f>IF($C227="","",IFERROR(LOOKUP(2,1/($C$4:$C226=$C227),$N$4:$N226),0))</f>
        <v/>
      </c>
      <c r="N227" s="15">
        <f>IF($C227="","",IF($D227="매수",$M227+$E227*$F227+$G227,$M227-IF($K227=0,0,$M227/$K227)*MIN($E227,$K227)))</f>
        <v/>
      </c>
      <c r="O227" s="14">
        <f>IF($C227="","",IF($L227=0,0,$N227/$L227))</f>
        <v/>
      </c>
      <c r="P227" s="15">
        <f>IF($C227="","",IF($D227="매수",0,MIN($E227,$K227)*$F227-IF($K227=0,0,$M227/$K227)*MIN($E227,$K227)-$G227))</f>
        <v/>
      </c>
    </row>
    <row r="228">
      <c r="A228" s="13" t="n"/>
      <c r="B228" s="9" t="n"/>
      <c r="C228" s="9" t="n"/>
      <c r="D228" s="9" t="n"/>
      <c r="E228" s="10" t="n"/>
      <c r="F228" s="10" t="n"/>
      <c r="G228" s="10" t="n"/>
      <c r="H228" s="9" t="n"/>
      <c r="I228" s="9" t="n"/>
      <c r="K228" s="14">
        <f>IF($C228="","",IFERROR(LOOKUP(2,1/($C$4:$C227=$C228),$L$4:$L227),0))</f>
        <v/>
      </c>
      <c r="L228" s="14">
        <f>IF($C228="","",IF($D228="매수",$K228+$E228,MAX(0,$K228-$E228)))</f>
        <v/>
      </c>
      <c r="M228" s="15">
        <f>IF($C228="","",IFERROR(LOOKUP(2,1/($C$4:$C227=$C228),$N$4:$N227),0))</f>
        <v/>
      </c>
      <c r="N228" s="15">
        <f>IF($C228="","",IF($D228="매수",$M228+$E228*$F228+$G228,$M228-IF($K228=0,0,$M228/$K228)*MIN($E228,$K228)))</f>
        <v/>
      </c>
      <c r="O228" s="14">
        <f>IF($C228="","",IF($L228=0,0,$N228/$L228))</f>
        <v/>
      </c>
      <c r="P228" s="15">
        <f>IF($C228="","",IF($D228="매수",0,MIN($E228,$K228)*$F228-IF($K228=0,0,$M228/$K228)*MIN($E228,$K228)-$G228))</f>
        <v/>
      </c>
    </row>
    <row r="229">
      <c r="A229" s="13" t="n"/>
      <c r="B229" s="9" t="n"/>
      <c r="C229" s="9" t="n"/>
      <c r="D229" s="9" t="n"/>
      <c r="E229" s="10" t="n"/>
      <c r="F229" s="10" t="n"/>
      <c r="G229" s="10" t="n"/>
      <c r="H229" s="9" t="n"/>
      <c r="I229" s="9" t="n"/>
      <c r="K229" s="14">
        <f>IF($C229="","",IFERROR(LOOKUP(2,1/($C$4:$C228=$C229),$L$4:$L228),0))</f>
        <v/>
      </c>
      <c r="L229" s="14">
        <f>IF($C229="","",IF($D229="매수",$K229+$E229,MAX(0,$K229-$E229)))</f>
        <v/>
      </c>
      <c r="M229" s="15">
        <f>IF($C229="","",IFERROR(LOOKUP(2,1/($C$4:$C228=$C229),$N$4:$N228),0))</f>
        <v/>
      </c>
      <c r="N229" s="15">
        <f>IF($C229="","",IF($D229="매수",$M229+$E229*$F229+$G229,$M229-IF($K229=0,0,$M229/$K229)*MIN($E229,$K229)))</f>
        <v/>
      </c>
      <c r="O229" s="14">
        <f>IF($C229="","",IF($L229=0,0,$N229/$L229))</f>
        <v/>
      </c>
      <c r="P229" s="15">
        <f>IF($C229="","",IF($D229="매수",0,MIN($E229,$K229)*$F229-IF($K229=0,0,$M229/$K229)*MIN($E229,$K229)-$G229))</f>
        <v/>
      </c>
    </row>
    <row r="230">
      <c r="A230" s="13" t="n"/>
      <c r="B230" s="9" t="n"/>
      <c r="C230" s="9" t="n"/>
      <c r="D230" s="9" t="n"/>
      <c r="E230" s="10" t="n"/>
      <c r="F230" s="10" t="n"/>
      <c r="G230" s="10" t="n"/>
      <c r="H230" s="9" t="n"/>
      <c r="I230" s="9" t="n"/>
      <c r="K230" s="14">
        <f>IF($C230="","",IFERROR(LOOKUP(2,1/($C$4:$C229=$C230),$L$4:$L229),0))</f>
        <v/>
      </c>
      <c r="L230" s="14">
        <f>IF($C230="","",IF($D230="매수",$K230+$E230,MAX(0,$K230-$E230)))</f>
        <v/>
      </c>
      <c r="M230" s="15">
        <f>IF($C230="","",IFERROR(LOOKUP(2,1/($C$4:$C229=$C230),$N$4:$N229),0))</f>
        <v/>
      </c>
      <c r="N230" s="15">
        <f>IF($C230="","",IF($D230="매수",$M230+$E230*$F230+$G230,$M230-IF($K230=0,0,$M230/$K230)*MIN($E230,$K230)))</f>
        <v/>
      </c>
      <c r="O230" s="14">
        <f>IF($C230="","",IF($L230=0,0,$N230/$L230))</f>
        <v/>
      </c>
      <c r="P230" s="15">
        <f>IF($C230="","",IF($D230="매수",0,MIN($E230,$K230)*$F230-IF($K230=0,0,$M230/$K230)*MIN($E230,$K230)-$G230))</f>
        <v/>
      </c>
    </row>
    <row r="231">
      <c r="A231" s="13" t="n"/>
      <c r="B231" s="9" t="n"/>
      <c r="C231" s="9" t="n"/>
      <c r="D231" s="9" t="n"/>
      <c r="E231" s="10" t="n"/>
      <c r="F231" s="10" t="n"/>
      <c r="G231" s="10" t="n"/>
      <c r="H231" s="9" t="n"/>
      <c r="I231" s="9" t="n"/>
      <c r="K231" s="14">
        <f>IF($C231="","",IFERROR(LOOKUP(2,1/($C$4:$C230=$C231),$L$4:$L230),0))</f>
        <v/>
      </c>
      <c r="L231" s="14">
        <f>IF($C231="","",IF($D231="매수",$K231+$E231,MAX(0,$K231-$E231)))</f>
        <v/>
      </c>
      <c r="M231" s="15">
        <f>IF($C231="","",IFERROR(LOOKUP(2,1/($C$4:$C230=$C231),$N$4:$N230),0))</f>
        <v/>
      </c>
      <c r="N231" s="15">
        <f>IF($C231="","",IF($D231="매수",$M231+$E231*$F231+$G231,$M231-IF($K231=0,0,$M231/$K231)*MIN($E231,$K231)))</f>
        <v/>
      </c>
      <c r="O231" s="14">
        <f>IF($C231="","",IF($L231=0,0,$N231/$L231))</f>
        <v/>
      </c>
      <c r="P231" s="15">
        <f>IF($C231="","",IF($D231="매수",0,MIN($E231,$K231)*$F231-IF($K231=0,0,$M231/$K231)*MIN($E231,$K231)-$G231))</f>
        <v/>
      </c>
    </row>
    <row r="232">
      <c r="A232" s="13" t="n"/>
      <c r="B232" s="9" t="n"/>
      <c r="C232" s="9" t="n"/>
      <c r="D232" s="9" t="n"/>
      <c r="E232" s="10" t="n"/>
      <c r="F232" s="10" t="n"/>
      <c r="G232" s="10" t="n"/>
      <c r="H232" s="9" t="n"/>
      <c r="I232" s="9" t="n"/>
      <c r="K232" s="14">
        <f>IF($C232="","",IFERROR(LOOKUP(2,1/($C$4:$C231=$C232),$L$4:$L231),0))</f>
        <v/>
      </c>
      <c r="L232" s="14">
        <f>IF($C232="","",IF($D232="매수",$K232+$E232,MAX(0,$K232-$E232)))</f>
        <v/>
      </c>
      <c r="M232" s="15">
        <f>IF($C232="","",IFERROR(LOOKUP(2,1/($C$4:$C231=$C232),$N$4:$N231),0))</f>
        <v/>
      </c>
      <c r="N232" s="15">
        <f>IF($C232="","",IF($D232="매수",$M232+$E232*$F232+$G232,$M232-IF($K232=0,0,$M232/$K232)*MIN($E232,$K232)))</f>
        <v/>
      </c>
      <c r="O232" s="14">
        <f>IF($C232="","",IF($L232=0,0,$N232/$L232))</f>
        <v/>
      </c>
      <c r="P232" s="15">
        <f>IF($C232="","",IF($D232="매수",0,MIN($E232,$K232)*$F232-IF($K232=0,0,$M232/$K232)*MIN($E232,$K232)-$G232))</f>
        <v/>
      </c>
    </row>
    <row r="233">
      <c r="A233" s="13" t="n"/>
      <c r="B233" s="9" t="n"/>
      <c r="C233" s="9" t="n"/>
      <c r="D233" s="9" t="n"/>
      <c r="E233" s="10" t="n"/>
      <c r="F233" s="10" t="n"/>
      <c r="G233" s="10" t="n"/>
      <c r="H233" s="9" t="n"/>
      <c r="I233" s="9" t="n"/>
      <c r="K233" s="14">
        <f>IF($C233="","",IFERROR(LOOKUP(2,1/($C$4:$C232=$C233),$L$4:$L232),0))</f>
        <v/>
      </c>
      <c r="L233" s="14">
        <f>IF($C233="","",IF($D233="매수",$K233+$E233,MAX(0,$K233-$E233)))</f>
        <v/>
      </c>
      <c r="M233" s="15">
        <f>IF($C233="","",IFERROR(LOOKUP(2,1/($C$4:$C232=$C233),$N$4:$N232),0))</f>
        <v/>
      </c>
      <c r="N233" s="15">
        <f>IF($C233="","",IF($D233="매수",$M233+$E233*$F233+$G233,$M233-IF($K233=0,0,$M233/$K233)*MIN($E233,$K233)))</f>
        <v/>
      </c>
      <c r="O233" s="14">
        <f>IF($C233="","",IF($L233=0,0,$N233/$L233))</f>
        <v/>
      </c>
      <c r="P233" s="15">
        <f>IF($C233="","",IF($D233="매수",0,MIN($E233,$K233)*$F233-IF($K233=0,0,$M233/$K233)*MIN($E233,$K233)-$G233))</f>
        <v/>
      </c>
    </row>
    <row r="234">
      <c r="A234" s="13" t="n"/>
      <c r="B234" s="9" t="n"/>
      <c r="C234" s="9" t="n"/>
      <c r="D234" s="9" t="n"/>
      <c r="E234" s="10" t="n"/>
      <c r="F234" s="10" t="n"/>
      <c r="G234" s="10" t="n"/>
      <c r="H234" s="9" t="n"/>
      <c r="I234" s="9" t="n"/>
      <c r="K234" s="14">
        <f>IF($C234="","",IFERROR(LOOKUP(2,1/($C$4:$C233=$C234),$L$4:$L233),0))</f>
        <v/>
      </c>
      <c r="L234" s="14">
        <f>IF($C234="","",IF($D234="매수",$K234+$E234,MAX(0,$K234-$E234)))</f>
        <v/>
      </c>
      <c r="M234" s="15">
        <f>IF($C234="","",IFERROR(LOOKUP(2,1/($C$4:$C233=$C234),$N$4:$N233),0))</f>
        <v/>
      </c>
      <c r="N234" s="15">
        <f>IF($C234="","",IF($D234="매수",$M234+$E234*$F234+$G234,$M234-IF($K234=0,0,$M234/$K234)*MIN($E234,$K234)))</f>
        <v/>
      </c>
      <c r="O234" s="14">
        <f>IF($C234="","",IF($L234=0,0,$N234/$L234))</f>
        <v/>
      </c>
      <c r="P234" s="15">
        <f>IF($C234="","",IF($D234="매수",0,MIN($E234,$K234)*$F234-IF($K234=0,0,$M234/$K234)*MIN($E234,$K234)-$G234))</f>
        <v/>
      </c>
    </row>
    <row r="235">
      <c r="A235" s="13" t="n"/>
      <c r="B235" s="9" t="n"/>
      <c r="C235" s="9" t="n"/>
      <c r="D235" s="9" t="n"/>
      <c r="E235" s="10" t="n"/>
      <c r="F235" s="10" t="n"/>
      <c r="G235" s="10" t="n"/>
      <c r="H235" s="9" t="n"/>
      <c r="I235" s="9" t="n"/>
      <c r="K235" s="14">
        <f>IF($C235="","",IFERROR(LOOKUP(2,1/($C$4:$C234=$C235),$L$4:$L234),0))</f>
        <v/>
      </c>
      <c r="L235" s="14">
        <f>IF($C235="","",IF($D235="매수",$K235+$E235,MAX(0,$K235-$E235)))</f>
        <v/>
      </c>
      <c r="M235" s="15">
        <f>IF($C235="","",IFERROR(LOOKUP(2,1/($C$4:$C234=$C235),$N$4:$N234),0))</f>
        <v/>
      </c>
      <c r="N235" s="15">
        <f>IF($C235="","",IF($D235="매수",$M235+$E235*$F235+$G235,$M235-IF($K235=0,0,$M235/$K235)*MIN($E235,$K235)))</f>
        <v/>
      </c>
      <c r="O235" s="14">
        <f>IF($C235="","",IF($L235=0,0,$N235/$L235))</f>
        <v/>
      </c>
      <c r="P235" s="15">
        <f>IF($C235="","",IF($D235="매수",0,MIN($E235,$K235)*$F235-IF($K235=0,0,$M235/$K235)*MIN($E235,$K235)-$G235))</f>
        <v/>
      </c>
    </row>
    <row r="236">
      <c r="A236" s="13" t="n"/>
      <c r="B236" s="9" t="n"/>
      <c r="C236" s="9" t="n"/>
      <c r="D236" s="9" t="n"/>
      <c r="E236" s="10" t="n"/>
      <c r="F236" s="10" t="n"/>
      <c r="G236" s="10" t="n"/>
      <c r="H236" s="9" t="n"/>
      <c r="I236" s="9" t="n"/>
      <c r="K236" s="14">
        <f>IF($C236="","",IFERROR(LOOKUP(2,1/($C$4:$C235=$C236),$L$4:$L235),0))</f>
        <v/>
      </c>
      <c r="L236" s="14">
        <f>IF($C236="","",IF($D236="매수",$K236+$E236,MAX(0,$K236-$E236)))</f>
        <v/>
      </c>
      <c r="M236" s="15">
        <f>IF($C236="","",IFERROR(LOOKUP(2,1/($C$4:$C235=$C236),$N$4:$N235),0))</f>
        <v/>
      </c>
      <c r="N236" s="15">
        <f>IF($C236="","",IF($D236="매수",$M236+$E236*$F236+$G236,$M236-IF($K236=0,0,$M236/$K236)*MIN($E236,$K236)))</f>
        <v/>
      </c>
      <c r="O236" s="14">
        <f>IF($C236="","",IF($L236=0,0,$N236/$L236))</f>
        <v/>
      </c>
      <c r="P236" s="15">
        <f>IF($C236="","",IF($D236="매수",0,MIN($E236,$K236)*$F236-IF($K236=0,0,$M236/$K236)*MIN($E236,$K236)-$G236))</f>
        <v/>
      </c>
    </row>
    <row r="237">
      <c r="A237" s="13" t="n"/>
      <c r="B237" s="9" t="n"/>
      <c r="C237" s="9" t="n"/>
      <c r="D237" s="9" t="n"/>
      <c r="E237" s="10" t="n"/>
      <c r="F237" s="10" t="n"/>
      <c r="G237" s="10" t="n"/>
      <c r="H237" s="9" t="n"/>
      <c r="I237" s="9" t="n"/>
      <c r="K237" s="14">
        <f>IF($C237="","",IFERROR(LOOKUP(2,1/($C$4:$C236=$C237),$L$4:$L236),0))</f>
        <v/>
      </c>
      <c r="L237" s="14">
        <f>IF($C237="","",IF($D237="매수",$K237+$E237,MAX(0,$K237-$E237)))</f>
        <v/>
      </c>
      <c r="M237" s="15">
        <f>IF($C237="","",IFERROR(LOOKUP(2,1/($C$4:$C236=$C237),$N$4:$N236),0))</f>
        <v/>
      </c>
      <c r="N237" s="15">
        <f>IF($C237="","",IF($D237="매수",$M237+$E237*$F237+$G237,$M237-IF($K237=0,0,$M237/$K237)*MIN($E237,$K237)))</f>
        <v/>
      </c>
      <c r="O237" s="14">
        <f>IF($C237="","",IF($L237=0,0,$N237/$L237))</f>
        <v/>
      </c>
      <c r="P237" s="15">
        <f>IF($C237="","",IF($D237="매수",0,MIN($E237,$K237)*$F237-IF($K237=0,0,$M237/$K237)*MIN($E237,$K237)-$G237))</f>
        <v/>
      </c>
    </row>
    <row r="238">
      <c r="A238" s="13" t="n"/>
      <c r="B238" s="9" t="n"/>
      <c r="C238" s="9" t="n"/>
      <c r="D238" s="9" t="n"/>
      <c r="E238" s="10" t="n"/>
      <c r="F238" s="10" t="n"/>
      <c r="G238" s="10" t="n"/>
      <c r="H238" s="9" t="n"/>
      <c r="I238" s="9" t="n"/>
      <c r="K238" s="14">
        <f>IF($C238="","",IFERROR(LOOKUP(2,1/($C$4:$C237=$C238),$L$4:$L237),0))</f>
        <v/>
      </c>
      <c r="L238" s="14">
        <f>IF($C238="","",IF($D238="매수",$K238+$E238,MAX(0,$K238-$E238)))</f>
        <v/>
      </c>
      <c r="M238" s="15">
        <f>IF($C238="","",IFERROR(LOOKUP(2,1/($C$4:$C237=$C238),$N$4:$N237),0))</f>
        <v/>
      </c>
      <c r="N238" s="15">
        <f>IF($C238="","",IF($D238="매수",$M238+$E238*$F238+$G238,$M238-IF($K238=0,0,$M238/$K238)*MIN($E238,$K238)))</f>
        <v/>
      </c>
      <c r="O238" s="14">
        <f>IF($C238="","",IF($L238=0,0,$N238/$L238))</f>
        <v/>
      </c>
      <c r="P238" s="15">
        <f>IF($C238="","",IF($D238="매수",0,MIN($E238,$K238)*$F238-IF($K238=0,0,$M238/$K238)*MIN($E238,$K238)-$G238))</f>
        <v/>
      </c>
    </row>
    <row r="239">
      <c r="A239" s="13" t="n"/>
      <c r="B239" s="9" t="n"/>
      <c r="C239" s="9" t="n"/>
      <c r="D239" s="9" t="n"/>
      <c r="E239" s="10" t="n"/>
      <c r="F239" s="10" t="n"/>
      <c r="G239" s="10" t="n"/>
      <c r="H239" s="9" t="n"/>
      <c r="I239" s="9" t="n"/>
      <c r="K239" s="14">
        <f>IF($C239="","",IFERROR(LOOKUP(2,1/($C$4:$C238=$C239),$L$4:$L238),0))</f>
        <v/>
      </c>
      <c r="L239" s="14">
        <f>IF($C239="","",IF($D239="매수",$K239+$E239,MAX(0,$K239-$E239)))</f>
        <v/>
      </c>
      <c r="M239" s="15">
        <f>IF($C239="","",IFERROR(LOOKUP(2,1/($C$4:$C238=$C239),$N$4:$N238),0))</f>
        <v/>
      </c>
      <c r="N239" s="15">
        <f>IF($C239="","",IF($D239="매수",$M239+$E239*$F239+$G239,$M239-IF($K239=0,0,$M239/$K239)*MIN($E239,$K239)))</f>
        <v/>
      </c>
      <c r="O239" s="14">
        <f>IF($C239="","",IF($L239=0,0,$N239/$L239))</f>
        <v/>
      </c>
      <c r="P239" s="15">
        <f>IF($C239="","",IF($D239="매수",0,MIN($E239,$K239)*$F239-IF($K239=0,0,$M239/$K239)*MIN($E239,$K239)-$G239))</f>
        <v/>
      </c>
    </row>
    <row r="240">
      <c r="A240" s="13" t="n"/>
      <c r="B240" s="9" t="n"/>
      <c r="C240" s="9" t="n"/>
      <c r="D240" s="9" t="n"/>
      <c r="E240" s="10" t="n"/>
      <c r="F240" s="10" t="n"/>
      <c r="G240" s="10" t="n"/>
      <c r="H240" s="9" t="n"/>
      <c r="I240" s="9" t="n"/>
      <c r="K240" s="14">
        <f>IF($C240="","",IFERROR(LOOKUP(2,1/($C$4:$C239=$C240),$L$4:$L239),0))</f>
        <v/>
      </c>
      <c r="L240" s="14">
        <f>IF($C240="","",IF($D240="매수",$K240+$E240,MAX(0,$K240-$E240)))</f>
        <v/>
      </c>
      <c r="M240" s="15">
        <f>IF($C240="","",IFERROR(LOOKUP(2,1/($C$4:$C239=$C240),$N$4:$N239),0))</f>
        <v/>
      </c>
      <c r="N240" s="15">
        <f>IF($C240="","",IF($D240="매수",$M240+$E240*$F240+$G240,$M240-IF($K240=0,0,$M240/$K240)*MIN($E240,$K240)))</f>
        <v/>
      </c>
      <c r="O240" s="14">
        <f>IF($C240="","",IF($L240=0,0,$N240/$L240))</f>
        <v/>
      </c>
      <c r="P240" s="15">
        <f>IF($C240="","",IF($D240="매수",0,MIN($E240,$K240)*$F240-IF($K240=0,0,$M240/$K240)*MIN($E240,$K240)-$G240))</f>
        <v/>
      </c>
    </row>
    <row r="241">
      <c r="A241" s="13" t="n"/>
      <c r="B241" s="9" t="n"/>
      <c r="C241" s="9" t="n"/>
      <c r="D241" s="9" t="n"/>
      <c r="E241" s="10" t="n"/>
      <c r="F241" s="10" t="n"/>
      <c r="G241" s="10" t="n"/>
      <c r="H241" s="9" t="n"/>
      <c r="I241" s="9" t="n"/>
      <c r="K241" s="14">
        <f>IF($C241="","",IFERROR(LOOKUP(2,1/($C$4:$C240=$C241),$L$4:$L240),0))</f>
        <v/>
      </c>
      <c r="L241" s="14">
        <f>IF($C241="","",IF($D241="매수",$K241+$E241,MAX(0,$K241-$E241)))</f>
        <v/>
      </c>
      <c r="M241" s="15">
        <f>IF($C241="","",IFERROR(LOOKUP(2,1/($C$4:$C240=$C241),$N$4:$N240),0))</f>
        <v/>
      </c>
      <c r="N241" s="15">
        <f>IF($C241="","",IF($D241="매수",$M241+$E241*$F241+$G241,$M241-IF($K241=0,0,$M241/$K241)*MIN($E241,$K241)))</f>
        <v/>
      </c>
      <c r="O241" s="14">
        <f>IF($C241="","",IF($L241=0,0,$N241/$L241))</f>
        <v/>
      </c>
      <c r="P241" s="15">
        <f>IF($C241="","",IF($D241="매수",0,MIN($E241,$K241)*$F241-IF($K241=0,0,$M241/$K241)*MIN($E241,$K241)-$G241))</f>
        <v/>
      </c>
    </row>
    <row r="242">
      <c r="A242" s="13" t="n"/>
      <c r="B242" s="9" t="n"/>
      <c r="C242" s="9" t="n"/>
      <c r="D242" s="9" t="n"/>
      <c r="E242" s="10" t="n"/>
      <c r="F242" s="10" t="n"/>
      <c r="G242" s="10" t="n"/>
      <c r="H242" s="9" t="n"/>
      <c r="I242" s="9" t="n"/>
      <c r="K242" s="14">
        <f>IF($C242="","",IFERROR(LOOKUP(2,1/($C$4:$C241=$C242),$L$4:$L241),0))</f>
        <v/>
      </c>
      <c r="L242" s="14">
        <f>IF($C242="","",IF($D242="매수",$K242+$E242,MAX(0,$K242-$E242)))</f>
        <v/>
      </c>
      <c r="M242" s="15">
        <f>IF($C242="","",IFERROR(LOOKUP(2,1/($C$4:$C241=$C242),$N$4:$N241),0))</f>
        <v/>
      </c>
      <c r="N242" s="15">
        <f>IF($C242="","",IF($D242="매수",$M242+$E242*$F242+$G242,$M242-IF($K242=0,0,$M242/$K242)*MIN($E242,$K242)))</f>
        <v/>
      </c>
      <c r="O242" s="14">
        <f>IF($C242="","",IF($L242=0,0,$N242/$L242))</f>
        <v/>
      </c>
      <c r="P242" s="15">
        <f>IF($C242="","",IF($D242="매수",0,MIN($E242,$K242)*$F242-IF($K242=0,0,$M242/$K242)*MIN($E242,$K242)-$G242))</f>
        <v/>
      </c>
    </row>
    <row r="243">
      <c r="A243" s="13" t="n"/>
      <c r="B243" s="9" t="n"/>
      <c r="C243" s="9" t="n"/>
      <c r="D243" s="9" t="n"/>
      <c r="E243" s="10" t="n"/>
      <c r="F243" s="10" t="n"/>
      <c r="G243" s="10" t="n"/>
      <c r="H243" s="9" t="n"/>
      <c r="I243" s="9" t="n"/>
      <c r="K243" s="14">
        <f>IF($C243="","",IFERROR(LOOKUP(2,1/($C$4:$C242=$C243),$L$4:$L242),0))</f>
        <v/>
      </c>
      <c r="L243" s="14">
        <f>IF($C243="","",IF($D243="매수",$K243+$E243,MAX(0,$K243-$E243)))</f>
        <v/>
      </c>
      <c r="M243" s="15">
        <f>IF($C243="","",IFERROR(LOOKUP(2,1/($C$4:$C242=$C243),$N$4:$N242),0))</f>
        <v/>
      </c>
      <c r="N243" s="15">
        <f>IF($C243="","",IF($D243="매수",$M243+$E243*$F243+$G243,$M243-IF($K243=0,0,$M243/$K243)*MIN($E243,$K243)))</f>
        <v/>
      </c>
      <c r="O243" s="14">
        <f>IF($C243="","",IF($L243=0,0,$N243/$L243))</f>
        <v/>
      </c>
      <c r="P243" s="15">
        <f>IF($C243="","",IF($D243="매수",0,MIN($E243,$K243)*$F243-IF($K243=0,0,$M243/$K243)*MIN($E243,$K243)-$G243))</f>
        <v/>
      </c>
    </row>
    <row r="244">
      <c r="A244" s="13" t="n"/>
      <c r="B244" s="9" t="n"/>
      <c r="C244" s="9" t="n"/>
      <c r="D244" s="9" t="n"/>
      <c r="E244" s="10" t="n"/>
      <c r="F244" s="10" t="n"/>
      <c r="G244" s="10" t="n"/>
      <c r="H244" s="9" t="n"/>
      <c r="I244" s="9" t="n"/>
      <c r="K244" s="14">
        <f>IF($C244="","",IFERROR(LOOKUP(2,1/($C$4:$C243=$C244),$L$4:$L243),0))</f>
        <v/>
      </c>
      <c r="L244" s="14">
        <f>IF($C244="","",IF($D244="매수",$K244+$E244,MAX(0,$K244-$E244)))</f>
        <v/>
      </c>
      <c r="M244" s="15">
        <f>IF($C244="","",IFERROR(LOOKUP(2,1/($C$4:$C243=$C244),$N$4:$N243),0))</f>
        <v/>
      </c>
      <c r="N244" s="15">
        <f>IF($C244="","",IF($D244="매수",$M244+$E244*$F244+$G244,$M244-IF($K244=0,0,$M244/$K244)*MIN($E244,$K244)))</f>
        <v/>
      </c>
      <c r="O244" s="14">
        <f>IF($C244="","",IF($L244=0,0,$N244/$L244))</f>
        <v/>
      </c>
      <c r="P244" s="15">
        <f>IF($C244="","",IF($D244="매수",0,MIN($E244,$K244)*$F244-IF($K244=0,0,$M244/$K244)*MIN($E244,$K244)-$G244))</f>
        <v/>
      </c>
    </row>
    <row r="245">
      <c r="A245" s="13" t="n"/>
      <c r="B245" s="9" t="n"/>
      <c r="C245" s="9" t="n"/>
      <c r="D245" s="9" t="n"/>
      <c r="E245" s="10" t="n"/>
      <c r="F245" s="10" t="n"/>
      <c r="G245" s="10" t="n"/>
      <c r="H245" s="9" t="n"/>
      <c r="I245" s="9" t="n"/>
      <c r="K245" s="14">
        <f>IF($C245="","",IFERROR(LOOKUP(2,1/($C$4:$C244=$C245),$L$4:$L244),0))</f>
        <v/>
      </c>
      <c r="L245" s="14">
        <f>IF($C245="","",IF($D245="매수",$K245+$E245,MAX(0,$K245-$E245)))</f>
        <v/>
      </c>
      <c r="M245" s="15">
        <f>IF($C245="","",IFERROR(LOOKUP(2,1/($C$4:$C244=$C245),$N$4:$N244),0))</f>
        <v/>
      </c>
      <c r="N245" s="15">
        <f>IF($C245="","",IF($D245="매수",$M245+$E245*$F245+$G245,$M245-IF($K245=0,0,$M245/$K245)*MIN($E245,$K245)))</f>
        <v/>
      </c>
      <c r="O245" s="14">
        <f>IF($C245="","",IF($L245=0,0,$N245/$L245))</f>
        <v/>
      </c>
      <c r="P245" s="15">
        <f>IF($C245="","",IF($D245="매수",0,MIN($E245,$K245)*$F245-IF($K245=0,0,$M245/$K245)*MIN($E245,$K245)-$G245))</f>
        <v/>
      </c>
    </row>
    <row r="246">
      <c r="A246" s="13" t="n"/>
      <c r="B246" s="9" t="n"/>
      <c r="C246" s="9" t="n"/>
      <c r="D246" s="9" t="n"/>
      <c r="E246" s="10" t="n"/>
      <c r="F246" s="10" t="n"/>
      <c r="G246" s="10" t="n"/>
      <c r="H246" s="9" t="n"/>
      <c r="I246" s="9" t="n"/>
      <c r="K246" s="14">
        <f>IF($C246="","",IFERROR(LOOKUP(2,1/($C$4:$C245=$C246),$L$4:$L245),0))</f>
        <v/>
      </c>
      <c r="L246" s="14">
        <f>IF($C246="","",IF($D246="매수",$K246+$E246,MAX(0,$K246-$E246)))</f>
        <v/>
      </c>
      <c r="M246" s="15">
        <f>IF($C246="","",IFERROR(LOOKUP(2,1/($C$4:$C245=$C246),$N$4:$N245),0))</f>
        <v/>
      </c>
      <c r="N246" s="15">
        <f>IF($C246="","",IF($D246="매수",$M246+$E246*$F246+$G246,$M246-IF($K246=0,0,$M246/$K246)*MIN($E246,$K246)))</f>
        <v/>
      </c>
      <c r="O246" s="14">
        <f>IF($C246="","",IF($L246=0,0,$N246/$L246))</f>
        <v/>
      </c>
      <c r="P246" s="15">
        <f>IF($C246="","",IF($D246="매수",0,MIN($E246,$K246)*$F246-IF($K246=0,0,$M246/$K246)*MIN($E246,$K246)-$G246))</f>
        <v/>
      </c>
    </row>
    <row r="247">
      <c r="A247" s="13" t="n"/>
      <c r="B247" s="9" t="n"/>
      <c r="C247" s="9" t="n"/>
      <c r="D247" s="9" t="n"/>
      <c r="E247" s="10" t="n"/>
      <c r="F247" s="10" t="n"/>
      <c r="G247" s="10" t="n"/>
      <c r="H247" s="9" t="n"/>
      <c r="I247" s="9" t="n"/>
      <c r="K247" s="14">
        <f>IF($C247="","",IFERROR(LOOKUP(2,1/($C$4:$C246=$C247),$L$4:$L246),0))</f>
        <v/>
      </c>
      <c r="L247" s="14">
        <f>IF($C247="","",IF($D247="매수",$K247+$E247,MAX(0,$K247-$E247)))</f>
        <v/>
      </c>
      <c r="M247" s="15">
        <f>IF($C247="","",IFERROR(LOOKUP(2,1/($C$4:$C246=$C247),$N$4:$N246),0))</f>
        <v/>
      </c>
      <c r="N247" s="15">
        <f>IF($C247="","",IF($D247="매수",$M247+$E247*$F247+$G247,$M247-IF($K247=0,0,$M247/$K247)*MIN($E247,$K247)))</f>
        <v/>
      </c>
      <c r="O247" s="14">
        <f>IF($C247="","",IF($L247=0,0,$N247/$L247))</f>
        <v/>
      </c>
      <c r="P247" s="15">
        <f>IF($C247="","",IF($D247="매수",0,MIN($E247,$K247)*$F247-IF($K247=0,0,$M247/$K247)*MIN($E247,$K247)-$G247))</f>
        <v/>
      </c>
    </row>
    <row r="248">
      <c r="A248" s="13" t="n"/>
      <c r="B248" s="9" t="n"/>
      <c r="C248" s="9" t="n"/>
      <c r="D248" s="9" t="n"/>
      <c r="E248" s="10" t="n"/>
      <c r="F248" s="10" t="n"/>
      <c r="G248" s="10" t="n"/>
      <c r="H248" s="9" t="n"/>
      <c r="I248" s="9" t="n"/>
      <c r="K248" s="14">
        <f>IF($C248="","",IFERROR(LOOKUP(2,1/($C$4:$C247=$C248),$L$4:$L247),0))</f>
        <v/>
      </c>
      <c r="L248" s="14">
        <f>IF($C248="","",IF($D248="매수",$K248+$E248,MAX(0,$K248-$E248)))</f>
        <v/>
      </c>
      <c r="M248" s="15">
        <f>IF($C248="","",IFERROR(LOOKUP(2,1/($C$4:$C247=$C248),$N$4:$N247),0))</f>
        <v/>
      </c>
      <c r="N248" s="15">
        <f>IF($C248="","",IF($D248="매수",$M248+$E248*$F248+$G248,$M248-IF($K248=0,0,$M248/$K248)*MIN($E248,$K248)))</f>
        <v/>
      </c>
      <c r="O248" s="14">
        <f>IF($C248="","",IF($L248=0,0,$N248/$L248))</f>
        <v/>
      </c>
      <c r="P248" s="15">
        <f>IF($C248="","",IF($D248="매수",0,MIN($E248,$K248)*$F248-IF($K248=0,0,$M248/$K248)*MIN($E248,$K248)-$G248))</f>
        <v/>
      </c>
    </row>
    <row r="249">
      <c r="A249" s="13" t="n"/>
      <c r="B249" s="9" t="n"/>
      <c r="C249" s="9" t="n"/>
      <c r="D249" s="9" t="n"/>
      <c r="E249" s="10" t="n"/>
      <c r="F249" s="10" t="n"/>
      <c r="G249" s="10" t="n"/>
      <c r="H249" s="9" t="n"/>
      <c r="I249" s="9" t="n"/>
      <c r="K249" s="14">
        <f>IF($C249="","",IFERROR(LOOKUP(2,1/($C$4:$C248=$C249),$L$4:$L248),0))</f>
        <v/>
      </c>
      <c r="L249" s="14">
        <f>IF($C249="","",IF($D249="매수",$K249+$E249,MAX(0,$K249-$E249)))</f>
        <v/>
      </c>
      <c r="M249" s="15">
        <f>IF($C249="","",IFERROR(LOOKUP(2,1/($C$4:$C248=$C249),$N$4:$N248),0))</f>
        <v/>
      </c>
      <c r="N249" s="15">
        <f>IF($C249="","",IF($D249="매수",$M249+$E249*$F249+$G249,$M249-IF($K249=0,0,$M249/$K249)*MIN($E249,$K249)))</f>
        <v/>
      </c>
      <c r="O249" s="14">
        <f>IF($C249="","",IF($L249=0,0,$N249/$L249))</f>
        <v/>
      </c>
      <c r="P249" s="15">
        <f>IF($C249="","",IF($D249="매수",0,MIN($E249,$K249)*$F249-IF($K249=0,0,$M249/$K249)*MIN($E249,$K249)-$G249))</f>
        <v/>
      </c>
    </row>
    <row r="250">
      <c r="A250" s="13" t="n"/>
      <c r="B250" s="9" t="n"/>
      <c r="C250" s="9" t="n"/>
      <c r="D250" s="9" t="n"/>
      <c r="E250" s="10" t="n"/>
      <c r="F250" s="10" t="n"/>
      <c r="G250" s="10" t="n"/>
      <c r="H250" s="9" t="n"/>
      <c r="I250" s="9" t="n"/>
      <c r="K250" s="14">
        <f>IF($C250="","",IFERROR(LOOKUP(2,1/($C$4:$C249=$C250),$L$4:$L249),0))</f>
        <v/>
      </c>
      <c r="L250" s="14">
        <f>IF($C250="","",IF($D250="매수",$K250+$E250,MAX(0,$K250-$E250)))</f>
        <v/>
      </c>
      <c r="M250" s="15">
        <f>IF($C250="","",IFERROR(LOOKUP(2,1/($C$4:$C249=$C250),$N$4:$N249),0))</f>
        <v/>
      </c>
      <c r="N250" s="15">
        <f>IF($C250="","",IF($D250="매수",$M250+$E250*$F250+$G250,$M250-IF($K250=0,0,$M250/$K250)*MIN($E250,$K250)))</f>
        <v/>
      </c>
      <c r="O250" s="14">
        <f>IF($C250="","",IF($L250=0,0,$N250/$L250))</f>
        <v/>
      </c>
      <c r="P250" s="15">
        <f>IF($C250="","",IF($D250="매수",0,MIN($E250,$K250)*$F250-IF($K250=0,0,$M250/$K250)*MIN($E250,$K250)-$G250))</f>
        <v/>
      </c>
    </row>
    <row r="251">
      <c r="A251" s="13" t="n"/>
      <c r="B251" s="9" t="n"/>
      <c r="C251" s="9" t="n"/>
      <c r="D251" s="9" t="n"/>
      <c r="E251" s="10" t="n"/>
      <c r="F251" s="10" t="n"/>
      <c r="G251" s="10" t="n"/>
      <c r="H251" s="9" t="n"/>
      <c r="I251" s="9" t="n"/>
      <c r="K251" s="14">
        <f>IF($C251="","",IFERROR(LOOKUP(2,1/($C$4:$C250=$C251),$L$4:$L250),0))</f>
        <v/>
      </c>
      <c r="L251" s="14">
        <f>IF($C251="","",IF($D251="매수",$K251+$E251,MAX(0,$K251-$E251)))</f>
        <v/>
      </c>
      <c r="M251" s="15">
        <f>IF($C251="","",IFERROR(LOOKUP(2,1/($C$4:$C250=$C251),$N$4:$N250),0))</f>
        <v/>
      </c>
      <c r="N251" s="15">
        <f>IF($C251="","",IF($D251="매수",$M251+$E251*$F251+$G251,$M251-IF($K251=0,0,$M251/$K251)*MIN($E251,$K251)))</f>
        <v/>
      </c>
      <c r="O251" s="14">
        <f>IF($C251="","",IF($L251=0,0,$N251/$L251))</f>
        <v/>
      </c>
      <c r="P251" s="15">
        <f>IF($C251="","",IF($D251="매수",0,MIN($E251,$K251)*$F251-IF($K251=0,0,$M251/$K251)*MIN($E251,$K251)-$G251))</f>
        <v/>
      </c>
    </row>
    <row r="252">
      <c r="A252" s="13" t="n"/>
      <c r="B252" s="9" t="n"/>
      <c r="C252" s="9" t="n"/>
      <c r="D252" s="9" t="n"/>
      <c r="E252" s="10" t="n"/>
      <c r="F252" s="10" t="n"/>
      <c r="G252" s="10" t="n"/>
      <c r="H252" s="9" t="n"/>
      <c r="I252" s="9" t="n"/>
      <c r="K252" s="14">
        <f>IF($C252="","",IFERROR(LOOKUP(2,1/($C$4:$C251=$C252),$L$4:$L251),0))</f>
        <v/>
      </c>
      <c r="L252" s="14">
        <f>IF($C252="","",IF($D252="매수",$K252+$E252,MAX(0,$K252-$E252)))</f>
        <v/>
      </c>
      <c r="M252" s="15">
        <f>IF($C252="","",IFERROR(LOOKUP(2,1/($C$4:$C251=$C252),$N$4:$N251),0))</f>
        <v/>
      </c>
      <c r="N252" s="15">
        <f>IF($C252="","",IF($D252="매수",$M252+$E252*$F252+$G252,$M252-IF($K252=0,0,$M252/$K252)*MIN($E252,$K252)))</f>
        <v/>
      </c>
      <c r="O252" s="14">
        <f>IF($C252="","",IF($L252=0,0,$N252/$L252))</f>
        <v/>
      </c>
      <c r="P252" s="15">
        <f>IF($C252="","",IF($D252="매수",0,MIN($E252,$K252)*$F252-IF($K252=0,0,$M252/$K252)*MIN($E252,$K252)-$G252))</f>
        <v/>
      </c>
    </row>
    <row r="253">
      <c r="A253" s="13" t="n"/>
      <c r="B253" s="9" t="n"/>
      <c r="C253" s="9" t="n"/>
      <c r="D253" s="9" t="n"/>
      <c r="E253" s="10" t="n"/>
      <c r="F253" s="10" t="n"/>
      <c r="G253" s="10" t="n"/>
      <c r="H253" s="9" t="n"/>
      <c r="I253" s="9" t="n"/>
      <c r="K253" s="14">
        <f>IF($C253="","",IFERROR(LOOKUP(2,1/($C$4:$C252=$C253),$L$4:$L252),0))</f>
        <v/>
      </c>
      <c r="L253" s="14">
        <f>IF($C253="","",IF($D253="매수",$K253+$E253,MAX(0,$K253-$E253)))</f>
        <v/>
      </c>
      <c r="M253" s="15">
        <f>IF($C253="","",IFERROR(LOOKUP(2,1/($C$4:$C252=$C253),$N$4:$N252),0))</f>
        <v/>
      </c>
      <c r="N253" s="15">
        <f>IF($C253="","",IF($D253="매수",$M253+$E253*$F253+$G253,$M253-IF($K253=0,0,$M253/$K253)*MIN($E253,$K253)))</f>
        <v/>
      </c>
      <c r="O253" s="14">
        <f>IF($C253="","",IF($L253=0,0,$N253/$L253))</f>
        <v/>
      </c>
      <c r="P253" s="15">
        <f>IF($C253="","",IF($D253="매수",0,MIN($E253,$K253)*$F253-IF($K253=0,0,$M253/$K253)*MIN($E253,$K253)-$G253))</f>
        <v/>
      </c>
    </row>
  </sheetData>
  <dataValidations count="1">
    <dataValidation sqref="D4:D253" showDropDown="0" showInputMessage="0" showErrorMessage="0" allowBlank="1" type="list">
      <formula1>"매수,매도"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7" customWidth="1" min="3" max="3"/>
    <col width="16" customWidth="1" min="4" max="4"/>
    <col width="7" customWidth="1" min="5" max="5"/>
    <col width="11" customWidth="1" min="6" max="6"/>
    <col width="13" customWidth="1" min="7" max="7"/>
    <col width="13" customWidth="1" min="8" max="8"/>
    <col width="10" customWidth="1" min="9" max="9"/>
    <col width="14" customWidth="1" min="10" max="10"/>
    <col width="14" customWidth="1" min="11" max="11"/>
    <col width="13" customWidth="1" min="12" max="12"/>
    <col width="9" customWidth="1" min="13" max="13"/>
    <col width="8" customWidth="1" min="14" max="14"/>
    <col width="12" customWidth="1" min="15" max="15"/>
    <col width="26" customWidth="1" min="16" max="16"/>
  </cols>
  <sheetData>
    <row r="1">
      <c r="A1" s="1" t="inlineStr">
        <is>
          <t>보유현황</t>
        </is>
      </c>
    </row>
    <row r="2">
      <c r="A2" s="2" t="inlineStr">
        <is>
          <t>전부 자동 계산입니다. 종목정보에 등록한 순서대로 나옵니다.</t>
        </is>
      </c>
    </row>
    <row r="3">
      <c r="A3" s="16" t="inlineStr">
        <is>
          <t>총 매입금액</t>
        </is>
      </c>
      <c r="B3" s="17">
        <f>SUM(J6:J65)</f>
        <v/>
      </c>
      <c r="C3" s="16" t="inlineStr">
        <is>
          <t>총 평가금액</t>
        </is>
      </c>
      <c r="D3" s="17">
        <f>SUM(K6:K65)</f>
        <v/>
      </c>
      <c r="E3" s="16" t="inlineStr">
        <is>
          <t>평가손익</t>
        </is>
      </c>
      <c r="F3" s="17">
        <f>D3-B3</f>
        <v/>
      </c>
      <c r="G3" s="16" t="inlineStr">
        <is>
          <t>수익률</t>
        </is>
      </c>
      <c r="H3" s="18">
        <f>IFERROR(F3/B3,"")</f>
        <v/>
      </c>
      <c r="I3" s="16" t="inlineStr">
        <is>
          <t>실현손익</t>
        </is>
      </c>
      <c r="J3" s="17">
        <f>SUM(O6:O65)</f>
        <v/>
      </c>
    </row>
    <row r="5" ht="30" customHeight="1">
      <c r="A5" s="8" t="inlineStr">
        <is>
          <t>티커</t>
        </is>
      </c>
      <c r="B5" s="8" t="inlineStr">
        <is>
          <t>종목명</t>
        </is>
      </c>
      <c r="C5" s="8" t="inlineStr">
        <is>
          <t>국가</t>
        </is>
      </c>
      <c r="D5" s="8" t="inlineStr">
        <is>
          <t>섹터</t>
        </is>
      </c>
      <c r="E5" s="8" t="inlineStr">
        <is>
          <t>통화</t>
        </is>
      </c>
      <c r="F5" s="8" t="inlineStr">
        <is>
          <t>보유수량</t>
        </is>
      </c>
      <c r="G5" s="8" t="inlineStr">
        <is>
          <t>평단(현지)</t>
        </is>
      </c>
      <c r="H5" s="8" t="inlineStr">
        <is>
          <t>현재가(현지)</t>
        </is>
      </c>
      <c r="I5" s="8" t="inlineStr">
        <is>
          <t>환율</t>
        </is>
      </c>
      <c r="J5" s="8" t="inlineStr">
        <is>
          <t>매입금액(원)</t>
        </is>
      </c>
      <c r="K5" s="8" t="inlineStr">
        <is>
          <t>평가금액(원)</t>
        </is>
      </c>
      <c r="L5" s="8" t="inlineStr">
        <is>
          <t>평가손익(원)</t>
        </is>
      </c>
      <c r="M5" s="8" t="inlineStr">
        <is>
          <t>수익률</t>
        </is>
      </c>
      <c r="N5" s="8" t="inlineStr">
        <is>
          <t>비중</t>
        </is>
      </c>
      <c r="O5" s="8" t="inlineStr">
        <is>
          <t>실현손익(원)</t>
        </is>
      </c>
      <c r="P5" s="8" t="inlineStr">
        <is>
          <t>비고</t>
        </is>
      </c>
    </row>
    <row r="6">
      <c r="A6" s="19">
        <f>IF(종목정보!$A4="","",IF(종목정보!$A4="","",종목정보!$A4))</f>
        <v/>
      </c>
      <c r="B6" s="19">
        <f>IF(종목정보!$A4="","",IF(종목정보!$B4="","",종목정보!$B4))</f>
        <v/>
      </c>
      <c r="C6" s="19">
        <f>IF(종목정보!$A4="","",IF(종목정보!$C4="","",종목정보!$C4))</f>
        <v/>
      </c>
      <c r="D6" s="19">
        <f>IF(종목정보!$A4="","",IF(종목정보!$E4="","",종목정보!$E4))</f>
        <v/>
      </c>
      <c r="E6" s="19">
        <f>IF(종목정보!$A4="","",IF(종목정보!$D4="","",종목정보!$D4))</f>
        <v/>
      </c>
      <c r="F6" s="14">
        <f>IF(종목정보!$A4="","",IFERROR(LOOKUP(2,1/(거래입력!$C$4:$C$253=$A6),거래입력!$L$4:$L$253),0))</f>
        <v/>
      </c>
      <c r="G6" s="14">
        <f>IF(종목정보!$A4="","",IFERROR(LOOKUP(2,1/(거래입력!$C$4:$C$253=$A6),거래입력!$O$4:$O$253),0))</f>
        <v/>
      </c>
      <c r="H6" s="20">
        <f>IF(종목정보!$A4="","",IF(종목정보!$F4="","",종목정보!$F4))</f>
        <v/>
      </c>
      <c r="I6" s="21">
        <f>IF(종목정보!$A4="","",IFERROR(INDEX(설정!$B$8:$B$15,MATCH($E6,설정!$A$8:$A$15,0)),""))</f>
        <v/>
      </c>
      <c r="J6" s="15">
        <f>IF(종목정보!$A4="","",IFERROR($F6*$G6*$I6,0))</f>
        <v/>
      </c>
      <c r="K6" s="15">
        <f>IF(종목정보!$A4="","",IFERROR(IF($H6="",$J6,$F6*$H6*$I6),0))</f>
        <v/>
      </c>
      <c r="L6" s="15">
        <f>IF(종목정보!$A4="","",IF($H6="","",$K6-$J6))</f>
        <v/>
      </c>
      <c r="M6" s="22">
        <f>IF(종목정보!$A4="","",IFERROR($L6/$J6,""))</f>
        <v/>
      </c>
      <c r="N6" s="22">
        <f>IF(종목정보!$A4="","",IFERROR($K6/보유현황!$D$3,0))</f>
        <v/>
      </c>
      <c r="O6" s="15">
        <f>IF(종목정보!$A4="","",IFERROR(SUMIFS(거래입력!$P$4:$P$253,거래입력!$C$4:$C$253,$A6)*$I6,0))</f>
        <v/>
      </c>
      <c r="P6" s="23">
        <f>IF(종목정보!$A4="","",IF($I6="","설정 시트에 환율을 넣으세요",IF($F6=0,"보유 없음",IF($H6="","시세 없음 - 매입가로 계산",""))))</f>
        <v/>
      </c>
    </row>
    <row r="7">
      <c r="A7" s="19">
        <f>IF(종목정보!$A5="","",IF(종목정보!$A5="","",종목정보!$A5))</f>
        <v/>
      </c>
      <c r="B7" s="19">
        <f>IF(종목정보!$A5="","",IF(종목정보!$B5="","",종목정보!$B5))</f>
        <v/>
      </c>
      <c r="C7" s="19">
        <f>IF(종목정보!$A5="","",IF(종목정보!$C5="","",종목정보!$C5))</f>
        <v/>
      </c>
      <c r="D7" s="19">
        <f>IF(종목정보!$A5="","",IF(종목정보!$E5="","",종목정보!$E5))</f>
        <v/>
      </c>
      <c r="E7" s="19">
        <f>IF(종목정보!$A5="","",IF(종목정보!$D5="","",종목정보!$D5))</f>
        <v/>
      </c>
      <c r="F7" s="14">
        <f>IF(종목정보!$A5="","",IFERROR(LOOKUP(2,1/(거래입력!$C$4:$C$253=$A7),거래입력!$L$4:$L$253),0))</f>
        <v/>
      </c>
      <c r="G7" s="14">
        <f>IF(종목정보!$A5="","",IFERROR(LOOKUP(2,1/(거래입력!$C$4:$C$253=$A7),거래입력!$O$4:$O$253),0))</f>
        <v/>
      </c>
      <c r="H7" s="20">
        <f>IF(종목정보!$A5="","",IF(종목정보!$F5="","",종목정보!$F5))</f>
        <v/>
      </c>
      <c r="I7" s="21">
        <f>IF(종목정보!$A5="","",IFERROR(INDEX(설정!$B$8:$B$15,MATCH($E7,설정!$A$8:$A$15,0)),""))</f>
        <v/>
      </c>
      <c r="J7" s="15">
        <f>IF(종목정보!$A5="","",IFERROR($F7*$G7*$I7,0))</f>
        <v/>
      </c>
      <c r="K7" s="15">
        <f>IF(종목정보!$A5="","",IFERROR(IF($H7="",$J7,$F7*$H7*$I7),0))</f>
        <v/>
      </c>
      <c r="L7" s="15">
        <f>IF(종목정보!$A5="","",IF($H7="","",$K7-$J7))</f>
        <v/>
      </c>
      <c r="M7" s="22">
        <f>IF(종목정보!$A5="","",IFERROR($L7/$J7,""))</f>
        <v/>
      </c>
      <c r="N7" s="22">
        <f>IF(종목정보!$A5="","",IFERROR($K7/보유현황!$D$3,0))</f>
        <v/>
      </c>
      <c r="O7" s="15">
        <f>IF(종목정보!$A5="","",IFERROR(SUMIFS(거래입력!$P$4:$P$253,거래입력!$C$4:$C$253,$A7)*$I7,0))</f>
        <v/>
      </c>
      <c r="P7" s="23">
        <f>IF(종목정보!$A5="","",IF($I7="","설정 시트에 환율을 넣으세요",IF($F7=0,"보유 없음",IF($H7="","시세 없음 - 매입가로 계산",""))))</f>
        <v/>
      </c>
    </row>
    <row r="8">
      <c r="A8" s="19">
        <f>IF(종목정보!$A6="","",IF(종목정보!$A6="","",종목정보!$A6))</f>
        <v/>
      </c>
      <c r="B8" s="19">
        <f>IF(종목정보!$A6="","",IF(종목정보!$B6="","",종목정보!$B6))</f>
        <v/>
      </c>
      <c r="C8" s="19">
        <f>IF(종목정보!$A6="","",IF(종목정보!$C6="","",종목정보!$C6))</f>
        <v/>
      </c>
      <c r="D8" s="19">
        <f>IF(종목정보!$A6="","",IF(종목정보!$E6="","",종목정보!$E6))</f>
        <v/>
      </c>
      <c r="E8" s="19">
        <f>IF(종목정보!$A6="","",IF(종목정보!$D6="","",종목정보!$D6))</f>
        <v/>
      </c>
      <c r="F8" s="14">
        <f>IF(종목정보!$A6="","",IFERROR(LOOKUP(2,1/(거래입력!$C$4:$C$253=$A8),거래입력!$L$4:$L$253),0))</f>
        <v/>
      </c>
      <c r="G8" s="14">
        <f>IF(종목정보!$A6="","",IFERROR(LOOKUP(2,1/(거래입력!$C$4:$C$253=$A8),거래입력!$O$4:$O$253),0))</f>
        <v/>
      </c>
      <c r="H8" s="20">
        <f>IF(종목정보!$A6="","",IF(종목정보!$F6="","",종목정보!$F6))</f>
        <v/>
      </c>
      <c r="I8" s="21">
        <f>IF(종목정보!$A6="","",IFERROR(INDEX(설정!$B$8:$B$15,MATCH($E8,설정!$A$8:$A$15,0)),""))</f>
        <v/>
      </c>
      <c r="J8" s="15">
        <f>IF(종목정보!$A6="","",IFERROR($F8*$G8*$I8,0))</f>
        <v/>
      </c>
      <c r="K8" s="15">
        <f>IF(종목정보!$A6="","",IFERROR(IF($H8="",$J8,$F8*$H8*$I8),0))</f>
        <v/>
      </c>
      <c r="L8" s="15">
        <f>IF(종목정보!$A6="","",IF($H8="","",$K8-$J8))</f>
        <v/>
      </c>
      <c r="M8" s="22">
        <f>IF(종목정보!$A6="","",IFERROR($L8/$J8,""))</f>
        <v/>
      </c>
      <c r="N8" s="22">
        <f>IF(종목정보!$A6="","",IFERROR($K8/보유현황!$D$3,0))</f>
        <v/>
      </c>
      <c r="O8" s="15">
        <f>IF(종목정보!$A6="","",IFERROR(SUMIFS(거래입력!$P$4:$P$253,거래입력!$C$4:$C$253,$A8)*$I8,0))</f>
        <v/>
      </c>
      <c r="P8" s="23">
        <f>IF(종목정보!$A6="","",IF($I8="","설정 시트에 환율을 넣으세요",IF($F8=0,"보유 없음",IF($H8="","시세 없음 - 매입가로 계산",""))))</f>
        <v/>
      </c>
    </row>
    <row r="9">
      <c r="A9" s="19">
        <f>IF(종목정보!$A7="","",IF(종목정보!$A7="","",종목정보!$A7))</f>
        <v/>
      </c>
      <c r="B9" s="19">
        <f>IF(종목정보!$A7="","",IF(종목정보!$B7="","",종목정보!$B7))</f>
        <v/>
      </c>
      <c r="C9" s="19">
        <f>IF(종목정보!$A7="","",IF(종목정보!$C7="","",종목정보!$C7))</f>
        <v/>
      </c>
      <c r="D9" s="19">
        <f>IF(종목정보!$A7="","",IF(종목정보!$E7="","",종목정보!$E7))</f>
        <v/>
      </c>
      <c r="E9" s="19">
        <f>IF(종목정보!$A7="","",IF(종목정보!$D7="","",종목정보!$D7))</f>
        <v/>
      </c>
      <c r="F9" s="14">
        <f>IF(종목정보!$A7="","",IFERROR(LOOKUP(2,1/(거래입력!$C$4:$C$253=$A9),거래입력!$L$4:$L$253),0))</f>
        <v/>
      </c>
      <c r="G9" s="14">
        <f>IF(종목정보!$A7="","",IFERROR(LOOKUP(2,1/(거래입력!$C$4:$C$253=$A9),거래입력!$O$4:$O$253),0))</f>
        <v/>
      </c>
      <c r="H9" s="20">
        <f>IF(종목정보!$A7="","",IF(종목정보!$F7="","",종목정보!$F7))</f>
        <v/>
      </c>
      <c r="I9" s="21">
        <f>IF(종목정보!$A7="","",IFERROR(INDEX(설정!$B$8:$B$15,MATCH($E9,설정!$A$8:$A$15,0)),""))</f>
        <v/>
      </c>
      <c r="J9" s="15">
        <f>IF(종목정보!$A7="","",IFERROR($F9*$G9*$I9,0))</f>
        <v/>
      </c>
      <c r="K9" s="15">
        <f>IF(종목정보!$A7="","",IFERROR(IF($H9="",$J9,$F9*$H9*$I9),0))</f>
        <v/>
      </c>
      <c r="L9" s="15">
        <f>IF(종목정보!$A7="","",IF($H9="","",$K9-$J9))</f>
        <v/>
      </c>
      <c r="M9" s="22">
        <f>IF(종목정보!$A7="","",IFERROR($L9/$J9,""))</f>
        <v/>
      </c>
      <c r="N9" s="22">
        <f>IF(종목정보!$A7="","",IFERROR($K9/보유현황!$D$3,0))</f>
        <v/>
      </c>
      <c r="O9" s="15">
        <f>IF(종목정보!$A7="","",IFERROR(SUMIFS(거래입력!$P$4:$P$253,거래입력!$C$4:$C$253,$A9)*$I9,0))</f>
        <v/>
      </c>
      <c r="P9" s="23">
        <f>IF(종목정보!$A7="","",IF($I9="","설정 시트에 환율을 넣으세요",IF($F9=0,"보유 없음",IF($H9="","시세 없음 - 매입가로 계산",""))))</f>
        <v/>
      </c>
    </row>
    <row r="10">
      <c r="A10" s="19">
        <f>IF(종목정보!$A8="","",IF(종목정보!$A8="","",종목정보!$A8))</f>
        <v/>
      </c>
      <c r="B10" s="19">
        <f>IF(종목정보!$A8="","",IF(종목정보!$B8="","",종목정보!$B8))</f>
        <v/>
      </c>
      <c r="C10" s="19">
        <f>IF(종목정보!$A8="","",IF(종목정보!$C8="","",종목정보!$C8))</f>
        <v/>
      </c>
      <c r="D10" s="19">
        <f>IF(종목정보!$A8="","",IF(종목정보!$E8="","",종목정보!$E8))</f>
        <v/>
      </c>
      <c r="E10" s="19">
        <f>IF(종목정보!$A8="","",IF(종목정보!$D8="","",종목정보!$D8))</f>
        <v/>
      </c>
      <c r="F10" s="14">
        <f>IF(종목정보!$A8="","",IFERROR(LOOKUP(2,1/(거래입력!$C$4:$C$253=$A10),거래입력!$L$4:$L$253),0))</f>
        <v/>
      </c>
      <c r="G10" s="14">
        <f>IF(종목정보!$A8="","",IFERROR(LOOKUP(2,1/(거래입력!$C$4:$C$253=$A10),거래입력!$O$4:$O$253),0))</f>
        <v/>
      </c>
      <c r="H10" s="20">
        <f>IF(종목정보!$A8="","",IF(종목정보!$F8="","",종목정보!$F8))</f>
        <v/>
      </c>
      <c r="I10" s="21">
        <f>IF(종목정보!$A8="","",IFERROR(INDEX(설정!$B$8:$B$15,MATCH($E10,설정!$A$8:$A$15,0)),""))</f>
        <v/>
      </c>
      <c r="J10" s="15">
        <f>IF(종목정보!$A8="","",IFERROR($F10*$G10*$I10,0))</f>
        <v/>
      </c>
      <c r="K10" s="15">
        <f>IF(종목정보!$A8="","",IFERROR(IF($H10="",$J10,$F10*$H10*$I10),0))</f>
        <v/>
      </c>
      <c r="L10" s="15">
        <f>IF(종목정보!$A8="","",IF($H10="","",$K10-$J10))</f>
        <v/>
      </c>
      <c r="M10" s="22">
        <f>IF(종목정보!$A8="","",IFERROR($L10/$J10,""))</f>
        <v/>
      </c>
      <c r="N10" s="22">
        <f>IF(종목정보!$A8="","",IFERROR($K10/보유현황!$D$3,0))</f>
        <v/>
      </c>
      <c r="O10" s="15">
        <f>IF(종목정보!$A8="","",IFERROR(SUMIFS(거래입력!$P$4:$P$253,거래입력!$C$4:$C$253,$A10)*$I10,0))</f>
        <v/>
      </c>
      <c r="P10" s="23">
        <f>IF(종목정보!$A8="","",IF($I10="","설정 시트에 환율을 넣으세요",IF($F10=0,"보유 없음",IF($H10="","시세 없음 - 매입가로 계산",""))))</f>
        <v/>
      </c>
    </row>
    <row r="11">
      <c r="A11" s="19">
        <f>IF(종목정보!$A9="","",IF(종목정보!$A9="","",종목정보!$A9))</f>
        <v/>
      </c>
      <c r="B11" s="19">
        <f>IF(종목정보!$A9="","",IF(종목정보!$B9="","",종목정보!$B9))</f>
        <v/>
      </c>
      <c r="C11" s="19">
        <f>IF(종목정보!$A9="","",IF(종목정보!$C9="","",종목정보!$C9))</f>
        <v/>
      </c>
      <c r="D11" s="19">
        <f>IF(종목정보!$A9="","",IF(종목정보!$E9="","",종목정보!$E9))</f>
        <v/>
      </c>
      <c r="E11" s="19">
        <f>IF(종목정보!$A9="","",IF(종목정보!$D9="","",종목정보!$D9))</f>
        <v/>
      </c>
      <c r="F11" s="14">
        <f>IF(종목정보!$A9="","",IFERROR(LOOKUP(2,1/(거래입력!$C$4:$C$253=$A11),거래입력!$L$4:$L$253),0))</f>
        <v/>
      </c>
      <c r="G11" s="14">
        <f>IF(종목정보!$A9="","",IFERROR(LOOKUP(2,1/(거래입력!$C$4:$C$253=$A11),거래입력!$O$4:$O$253),0))</f>
        <v/>
      </c>
      <c r="H11" s="20">
        <f>IF(종목정보!$A9="","",IF(종목정보!$F9="","",종목정보!$F9))</f>
        <v/>
      </c>
      <c r="I11" s="21">
        <f>IF(종목정보!$A9="","",IFERROR(INDEX(설정!$B$8:$B$15,MATCH($E11,설정!$A$8:$A$15,0)),""))</f>
        <v/>
      </c>
      <c r="J11" s="15">
        <f>IF(종목정보!$A9="","",IFERROR($F11*$G11*$I11,0))</f>
        <v/>
      </c>
      <c r="K11" s="15">
        <f>IF(종목정보!$A9="","",IFERROR(IF($H11="",$J11,$F11*$H11*$I11),0))</f>
        <v/>
      </c>
      <c r="L11" s="15">
        <f>IF(종목정보!$A9="","",IF($H11="","",$K11-$J11))</f>
        <v/>
      </c>
      <c r="M11" s="22">
        <f>IF(종목정보!$A9="","",IFERROR($L11/$J11,""))</f>
        <v/>
      </c>
      <c r="N11" s="22">
        <f>IF(종목정보!$A9="","",IFERROR($K11/보유현황!$D$3,0))</f>
        <v/>
      </c>
      <c r="O11" s="15">
        <f>IF(종목정보!$A9="","",IFERROR(SUMIFS(거래입력!$P$4:$P$253,거래입력!$C$4:$C$253,$A11)*$I11,0))</f>
        <v/>
      </c>
      <c r="P11" s="23">
        <f>IF(종목정보!$A9="","",IF($I11="","설정 시트에 환율을 넣으세요",IF($F11=0,"보유 없음",IF($H11="","시세 없음 - 매입가로 계산",""))))</f>
        <v/>
      </c>
    </row>
    <row r="12">
      <c r="A12" s="19">
        <f>IF(종목정보!$A10="","",IF(종목정보!$A10="","",종목정보!$A10))</f>
        <v/>
      </c>
      <c r="B12" s="19">
        <f>IF(종목정보!$A10="","",IF(종목정보!$B10="","",종목정보!$B10))</f>
        <v/>
      </c>
      <c r="C12" s="19">
        <f>IF(종목정보!$A10="","",IF(종목정보!$C10="","",종목정보!$C10))</f>
        <v/>
      </c>
      <c r="D12" s="19">
        <f>IF(종목정보!$A10="","",IF(종목정보!$E10="","",종목정보!$E10))</f>
        <v/>
      </c>
      <c r="E12" s="19">
        <f>IF(종목정보!$A10="","",IF(종목정보!$D10="","",종목정보!$D10))</f>
        <v/>
      </c>
      <c r="F12" s="14">
        <f>IF(종목정보!$A10="","",IFERROR(LOOKUP(2,1/(거래입력!$C$4:$C$253=$A12),거래입력!$L$4:$L$253),0))</f>
        <v/>
      </c>
      <c r="G12" s="14">
        <f>IF(종목정보!$A10="","",IFERROR(LOOKUP(2,1/(거래입력!$C$4:$C$253=$A12),거래입력!$O$4:$O$253),0))</f>
        <v/>
      </c>
      <c r="H12" s="20">
        <f>IF(종목정보!$A10="","",IF(종목정보!$F10="","",종목정보!$F10))</f>
        <v/>
      </c>
      <c r="I12" s="21">
        <f>IF(종목정보!$A10="","",IFERROR(INDEX(설정!$B$8:$B$15,MATCH($E12,설정!$A$8:$A$15,0)),""))</f>
        <v/>
      </c>
      <c r="J12" s="15">
        <f>IF(종목정보!$A10="","",IFERROR($F12*$G12*$I12,0))</f>
        <v/>
      </c>
      <c r="K12" s="15">
        <f>IF(종목정보!$A10="","",IFERROR(IF($H12="",$J12,$F12*$H12*$I12),0))</f>
        <v/>
      </c>
      <c r="L12" s="15">
        <f>IF(종목정보!$A10="","",IF($H12="","",$K12-$J12))</f>
        <v/>
      </c>
      <c r="M12" s="22">
        <f>IF(종목정보!$A10="","",IFERROR($L12/$J12,""))</f>
        <v/>
      </c>
      <c r="N12" s="22">
        <f>IF(종목정보!$A10="","",IFERROR($K12/보유현황!$D$3,0))</f>
        <v/>
      </c>
      <c r="O12" s="15">
        <f>IF(종목정보!$A10="","",IFERROR(SUMIFS(거래입력!$P$4:$P$253,거래입력!$C$4:$C$253,$A12)*$I12,0))</f>
        <v/>
      </c>
      <c r="P12" s="23">
        <f>IF(종목정보!$A10="","",IF($I12="","설정 시트에 환율을 넣으세요",IF($F12=0,"보유 없음",IF($H12="","시세 없음 - 매입가로 계산",""))))</f>
        <v/>
      </c>
    </row>
    <row r="13">
      <c r="A13" s="19">
        <f>IF(종목정보!$A11="","",IF(종목정보!$A11="","",종목정보!$A11))</f>
        <v/>
      </c>
      <c r="B13" s="19">
        <f>IF(종목정보!$A11="","",IF(종목정보!$B11="","",종목정보!$B11))</f>
        <v/>
      </c>
      <c r="C13" s="19">
        <f>IF(종목정보!$A11="","",IF(종목정보!$C11="","",종목정보!$C11))</f>
        <v/>
      </c>
      <c r="D13" s="19">
        <f>IF(종목정보!$A11="","",IF(종목정보!$E11="","",종목정보!$E11))</f>
        <v/>
      </c>
      <c r="E13" s="19">
        <f>IF(종목정보!$A11="","",IF(종목정보!$D11="","",종목정보!$D11))</f>
        <v/>
      </c>
      <c r="F13" s="14">
        <f>IF(종목정보!$A11="","",IFERROR(LOOKUP(2,1/(거래입력!$C$4:$C$253=$A13),거래입력!$L$4:$L$253),0))</f>
        <v/>
      </c>
      <c r="G13" s="14">
        <f>IF(종목정보!$A11="","",IFERROR(LOOKUP(2,1/(거래입력!$C$4:$C$253=$A13),거래입력!$O$4:$O$253),0))</f>
        <v/>
      </c>
      <c r="H13" s="20">
        <f>IF(종목정보!$A11="","",IF(종목정보!$F11="","",종목정보!$F11))</f>
        <v/>
      </c>
      <c r="I13" s="21">
        <f>IF(종목정보!$A11="","",IFERROR(INDEX(설정!$B$8:$B$15,MATCH($E13,설정!$A$8:$A$15,0)),""))</f>
        <v/>
      </c>
      <c r="J13" s="15">
        <f>IF(종목정보!$A11="","",IFERROR($F13*$G13*$I13,0))</f>
        <v/>
      </c>
      <c r="K13" s="15">
        <f>IF(종목정보!$A11="","",IFERROR(IF($H13="",$J13,$F13*$H13*$I13),0))</f>
        <v/>
      </c>
      <c r="L13" s="15">
        <f>IF(종목정보!$A11="","",IF($H13="","",$K13-$J13))</f>
        <v/>
      </c>
      <c r="M13" s="22">
        <f>IF(종목정보!$A11="","",IFERROR($L13/$J13,""))</f>
        <v/>
      </c>
      <c r="N13" s="22">
        <f>IF(종목정보!$A11="","",IFERROR($K13/보유현황!$D$3,0))</f>
        <v/>
      </c>
      <c r="O13" s="15">
        <f>IF(종목정보!$A11="","",IFERROR(SUMIFS(거래입력!$P$4:$P$253,거래입력!$C$4:$C$253,$A13)*$I13,0))</f>
        <v/>
      </c>
      <c r="P13" s="23">
        <f>IF(종목정보!$A11="","",IF($I13="","설정 시트에 환율을 넣으세요",IF($F13=0,"보유 없음",IF($H13="","시세 없음 - 매입가로 계산",""))))</f>
        <v/>
      </c>
    </row>
    <row r="14">
      <c r="A14" s="19">
        <f>IF(종목정보!$A12="","",IF(종목정보!$A12="","",종목정보!$A12))</f>
        <v/>
      </c>
      <c r="B14" s="19">
        <f>IF(종목정보!$A12="","",IF(종목정보!$B12="","",종목정보!$B12))</f>
        <v/>
      </c>
      <c r="C14" s="19">
        <f>IF(종목정보!$A12="","",IF(종목정보!$C12="","",종목정보!$C12))</f>
        <v/>
      </c>
      <c r="D14" s="19">
        <f>IF(종목정보!$A12="","",IF(종목정보!$E12="","",종목정보!$E12))</f>
        <v/>
      </c>
      <c r="E14" s="19">
        <f>IF(종목정보!$A12="","",IF(종목정보!$D12="","",종목정보!$D12))</f>
        <v/>
      </c>
      <c r="F14" s="14">
        <f>IF(종목정보!$A12="","",IFERROR(LOOKUP(2,1/(거래입력!$C$4:$C$253=$A14),거래입력!$L$4:$L$253),0))</f>
        <v/>
      </c>
      <c r="G14" s="14">
        <f>IF(종목정보!$A12="","",IFERROR(LOOKUP(2,1/(거래입력!$C$4:$C$253=$A14),거래입력!$O$4:$O$253),0))</f>
        <v/>
      </c>
      <c r="H14" s="20">
        <f>IF(종목정보!$A12="","",IF(종목정보!$F12="","",종목정보!$F12))</f>
        <v/>
      </c>
      <c r="I14" s="21">
        <f>IF(종목정보!$A12="","",IFERROR(INDEX(설정!$B$8:$B$15,MATCH($E14,설정!$A$8:$A$15,0)),""))</f>
        <v/>
      </c>
      <c r="J14" s="15">
        <f>IF(종목정보!$A12="","",IFERROR($F14*$G14*$I14,0))</f>
        <v/>
      </c>
      <c r="K14" s="15">
        <f>IF(종목정보!$A12="","",IFERROR(IF($H14="",$J14,$F14*$H14*$I14),0))</f>
        <v/>
      </c>
      <c r="L14" s="15">
        <f>IF(종목정보!$A12="","",IF($H14="","",$K14-$J14))</f>
        <v/>
      </c>
      <c r="M14" s="22">
        <f>IF(종목정보!$A12="","",IFERROR($L14/$J14,""))</f>
        <v/>
      </c>
      <c r="N14" s="22">
        <f>IF(종목정보!$A12="","",IFERROR($K14/보유현황!$D$3,0))</f>
        <v/>
      </c>
      <c r="O14" s="15">
        <f>IF(종목정보!$A12="","",IFERROR(SUMIFS(거래입력!$P$4:$P$253,거래입력!$C$4:$C$253,$A14)*$I14,0))</f>
        <v/>
      </c>
      <c r="P14" s="23">
        <f>IF(종목정보!$A12="","",IF($I14="","설정 시트에 환율을 넣으세요",IF($F14=0,"보유 없음",IF($H14="","시세 없음 - 매입가로 계산",""))))</f>
        <v/>
      </c>
    </row>
    <row r="15">
      <c r="A15" s="19">
        <f>IF(종목정보!$A13="","",IF(종목정보!$A13="","",종목정보!$A13))</f>
        <v/>
      </c>
      <c r="B15" s="19">
        <f>IF(종목정보!$A13="","",IF(종목정보!$B13="","",종목정보!$B13))</f>
        <v/>
      </c>
      <c r="C15" s="19">
        <f>IF(종목정보!$A13="","",IF(종목정보!$C13="","",종목정보!$C13))</f>
        <v/>
      </c>
      <c r="D15" s="19">
        <f>IF(종목정보!$A13="","",IF(종목정보!$E13="","",종목정보!$E13))</f>
        <v/>
      </c>
      <c r="E15" s="19">
        <f>IF(종목정보!$A13="","",IF(종목정보!$D13="","",종목정보!$D13))</f>
        <v/>
      </c>
      <c r="F15" s="14">
        <f>IF(종목정보!$A13="","",IFERROR(LOOKUP(2,1/(거래입력!$C$4:$C$253=$A15),거래입력!$L$4:$L$253),0))</f>
        <v/>
      </c>
      <c r="G15" s="14">
        <f>IF(종목정보!$A13="","",IFERROR(LOOKUP(2,1/(거래입력!$C$4:$C$253=$A15),거래입력!$O$4:$O$253),0))</f>
        <v/>
      </c>
      <c r="H15" s="20">
        <f>IF(종목정보!$A13="","",IF(종목정보!$F13="","",종목정보!$F13))</f>
        <v/>
      </c>
      <c r="I15" s="21">
        <f>IF(종목정보!$A13="","",IFERROR(INDEX(설정!$B$8:$B$15,MATCH($E15,설정!$A$8:$A$15,0)),""))</f>
        <v/>
      </c>
      <c r="J15" s="15">
        <f>IF(종목정보!$A13="","",IFERROR($F15*$G15*$I15,0))</f>
        <v/>
      </c>
      <c r="K15" s="15">
        <f>IF(종목정보!$A13="","",IFERROR(IF($H15="",$J15,$F15*$H15*$I15),0))</f>
        <v/>
      </c>
      <c r="L15" s="15">
        <f>IF(종목정보!$A13="","",IF($H15="","",$K15-$J15))</f>
        <v/>
      </c>
      <c r="M15" s="22">
        <f>IF(종목정보!$A13="","",IFERROR($L15/$J15,""))</f>
        <v/>
      </c>
      <c r="N15" s="22">
        <f>IF(종목정보!$A13="","",IFERROR($K15/보유현황!$D$3,0))</f>
        <v/>
      </c>
      <c r="O15" s="15">
        <f>IF(종목정보!$A13="","",IFERROR(SUMIFS(거래입력!$P$4:$P$253,거래입력!$C$4:$C$253,$A15)*$I15,0))</f>
        <v/>
      </c>
      <c r="P15" s="23">
        <f>IF(종목정보!$A13="","",IF($I15="","설정 시트에 환율을 넣으세요",IF($F15=0,"보유 없음",IF($H15="","시세 없음 - 매입가로 계산",""))))</f>
        <v/>
      </c>
    </row>
    <row r="16">
      <c r="A16" s="19">
        <f>IF(종목정보!$A14="","",IF(종목정보!$A14="","",종목정보!$A14))</f>
        <v/>
      </c>
      <c r="B16" s="19">
        <f>IF(종목정보!$A14="","",IF(종목정보!$B14="","",종목정보!$B14))</f>
        <v/>
      </c>
      <c r="C16" s="19">
        <f>IF(종목정보!$A14="","",IF(종목정보!$C14="","",종목정보!$C14))</f>
        <v/>
      </c>
      <c r="D16" s="19">
        <f>IF(종목정보!$A14="","",IF(종목정보!$E14="","",종목정보!$E14))</f>
        <v/>
      </c>
      <c r="E16" s="19">
        <f>IF(종목정보!$A14="","",IF(종목정보!$D14="","",종목정보!$D14))</f>
        <v/>
      </c>
      <c r="F16" s="14">
        <f>IF(종목정보!$A14="","",IFERROR(LOOKUP(2,1/(거래입력!$C$4:$C$253=$A16),거래입력!$L$4:$L$253),0))</f>
        <v/>
      </c>
      <c r="G16" s="14">
        <f>IF(종목정보!$A14="","",IFERROR(LOOKUP(2,1/(거래입력!$C$4:$C$253=$A16),거래입력!$O$4:$O$253),0))</f>
        <v/>
      </c>
      <c r="H16" s="20">
        <f>IF(종목정보!$A14="","",IF(종목정보!$F14="","",종목정보!$F14))</f>
        <v/>
      </c>
      <c r="I16" s="21">
        <f>IF(종목정보!$A14="","",IFERROR(INDEX(설정!$B$8:$B$15,MATCH($E16,설정!$A$8:$A$15,0)),""))</f>
        <v/>
      </c>
      <c r="J16" s="15">
        <f>IF(종목정보!$A14="","",IFERROR($F16*$G16*$I16,0))</f>
        <v/>
      </c>
      <c r="K16" s="15">
        <f>IF(종목정보!$A14="","",IFERROR(IF($H16="",$J16,$F16*$H16*$I16),0))</f>
        <v/>
      </c>
      <c r="L16" s="15">
        <f>IF(종목정보!$A14="","",IF($H16="","",$K16-$J16))</f>
        <v/>
      </c>
      <c r="M16" s="22">
        <f>IF(종목정보!$A14="","",IFERROR($L16/$J16,""))</f>
        <v/>
      </c>
      <c r="N16" s="22">
        <f>IF(종목정보!$A14="","",IFERROR($K16/보유현황!$D$3,0))</f>
        <v/>
      </c>
      <c r="O16" s="15">
        <f>IF(종목정보!$A14="","",IFERROR(SUMIFS(거래입력!$P$4:$P$253,거래입력!$C$4:$C$253,$A16)*$I16,0))</f>
        <v/>
      </c>
      <c r="P16" s="23">
        <f>IF(종목정보!$A14="","",IF($I16="","설정 시트에 환율을 넣으세요",IF($F16=0,"보유 없음",IF($H16="","시세 없음 - 매입가로 계산",""))))</f>
        <v/>
      </c>
    </row>
    <row r="17">
      <c r="A17" s="19">
        <f>IF(종목정보!$A15="","",IF(종목정보!$A15="","",종목정보!$A15))</f>
        <v/>
      </c>
      <c r="B17" s="19">
        <f>IF(종목정보!$A15="","",IF(종목정보!$B15="","",종목정보!$B15))</f>
        <v/>
      </c>
      <c r="C17" s="19">
        <f>IF(종목정보!$A15="","",IF(종목정보!$C15="","",종목정보!$C15))</f>
        <v/>
      </c>
      <c r="D17" s="19">
        <f>IF(종목정보!$A15="","",IF(종목정보!$E15="","",종목정보!$E15))</f>
        <v/>
      </c>
      <c r="E17" s="19">
        <f>IF(종목정보!$A15="","",IF(종목정보!$D15="","",종목정보!$D15))</f>
        <v/>
      </c>
      <c r="F17" s="14">
        <f>IF(종목정보!$A15="","",IFERROR(LOOKUP(2,1/(거래입력!$C$4:$C$253=$A17),거래입력!$L$4:$L$253),0))</f>
        <v/>
      </c>
      <c r="G17" s="14">
        <f>IF(종목정보!$A15="","",IFERROR(LOOKUP(2,1/(거래입력!$C$4:$C$253=$A17),거래입력!$O$4:$O$253),0))</f>
        <v/>
      </c>
      <c r="H17" s="20">
        <f>IF(종목정보!$A15="","",IF(종목정보!$F15="","",종목정보!$F15))</f>
        <v/>
      </c>
      <c r="I17" s="21">
        <f>IF(종목정보!$A15="","",IFERROR(INDEX(설정!$B$8:$B$15,MATCH($E17,설정!$A$8:$A$15,0)),""))</f>
        <v/>
      </c>
      <c r="J17" s="15">
        <f>IF(종목정보!$A15="","",IFERROR($F17*$G17*$I17,0))</f>
        <v/>
      </c>
      <c r="K17" s="15">
        <f>IF(종목정보!$A15="","",IFERROR(IF($H17="",$J17,$F17*$H17*$I17),0))</f>
        <v/>
      </c>
      <c r="L17" s="15">
        <f>IF(종목정보!$A15="","",IF($H17="","",$K17-$J17))</f>
        <v/>
      </c>
      <c r="M17" s="22">
        <f>IF(종목정보!$A15="","",IFERROR($L17/$J17,""))</f>
        <v/>
      </c>
      <c r="N17" s="22">
        <f>IF(종목정보!$A15="","",IFERROR($K17/보유현황!$D$3,0))</f>
        <v/>
      </c>
      <c r="O17" s="15">
        <f>IF(종목정보!$A15="","",IFERROR(SUMIFS(거래입력!$P$4:$P$253,거래입력!$C$4:$C$253,$A17)*$I17,0))</f>
        <v/>
      </c>
      <c r="P17" s="23">
        <f>IF(종목정보!$A15="","",IF($I17="","설정 시트에 환율을 넣으세요",IF($F17=0,"보유 없음",IF($H17="","시세 없음 - 매입가로 계산",""))))</f>
        <v/>
      </c>
    </row>
    <row r="18">
      <c r="A18" s="19">
        <f>IF(종목정보!$A16="","",IF(종목정보!$A16="","",종목정보!$A16))</f>
        <v/>
      </c>
      <c r="B18" s="19">
        <f>IF(종목정보!$A16="","",IF(종목정보!$B16="","",종목정보!$B16))</f>
        <v/>
      </c>
      <c r="C18" s="19">
        <f>IF(종목정보!$A16="","",IF(종목정보!$C16="","",종목정보!$C16))</f>
        <v/>
      </c>
      <c r="D18" s="19">
        <f>IF(종목정보!$A16="","",IF(종목정보!$E16="","",종목정보!$E16))</f>
        <v/>
      </c>
      <c r="E18" s="19">
        <f>IF(종목정보!$A16="","",IF(종목정보!$D16="","",종목정보!$D16))</f>
        <v/>
      </c>
      <c r="F18" s="14">
        <f>IF(종목정보!$A16="","",IFERROR(LOOKUP(2,1/(거래입력!$C$4:$C$253=$A18),거래입력!$L$4:$L$253),0))</f>
        <v/>
      </c>
      <c r="G18" s="14">
        <f>IF(종목정보!$A16="","",IFERROR(LOOKUP(2,1/(거래입력!$C$4:$C$253=$A18),거래입력!$O$4:$O$253),0))</f>
        <v/>
      </c>
      <c r="H18" s="20">
        <f>IF(종목정보!$A16="","",IF(종목정보!$F16="","",종목정보!$F16))</f>
        <v/>
      </c>
      <c r="I18" s="21">
        <f>IF(종목정보!$A16="","",IFERROR(INDEX(설정!$B$8:$B$15,MATCH($E18,설정!$A$8:$A$15,0)),""))</f>
        <v/>
      </c>
      <c r="J18" s="15">
        <f>IF(종목정보!$A16="","",IFERROR($F18*$G18*$I18,0))</f>
        <v/>
      </c>
      <c r="K18" s="15">
        <f>IF(종목정보!$A16="","",IFERROR(IF($H18="",$J18,$F18*$H18*$I18),0))</f>
        <v/>
      </c>
      <c r="L18" s="15">
        <f>IF(종목정보!$A16="","",IF($H18="","",$K18-$J18))</f>
        <v/>
      </c>
      <c r="M18" s="22">
        <f>IF(종목정보!$A16="","",IFERROR($L18/$J18,""))</f>
        <v/>
      </c>
      <c r="N18" s="22">
        <f>IF(종목정보!$A16="","",IFERROR($K18/보유현황!$D$3,0))</f>
        <v/>
      </c>
      <c r="O18" s="15">
        <f>IF(종목정보!$A16="","",IFERROR(SUMIFS(거래입력!$P$4:$P$253,거래입력!$C$4:$C$253,$A18)*$I18,0))</f>
        <v/>
      </c>
      <c r="P18" s="23">
        <f>IF(종목정보!$A16="","",IF($I18="","설정 시트에 환율을 넣으세요",IF($F18=0,"보유 없음",IF($H18="","시세 없음 - 매입가로 계산",""))))</f>
        <v/>
      </c>
    </row>
    <row r="19">
      <c r="A19" s="19">
        <f>IF(종목정보!$A17="","",IF(종목정보!$A17="","",종목정보!$A17))</f>
        <v/>
      </c>
      <c r="B19" s="19">
        <f>IF(종목정보!$A17="","",IF(종목정보!$B17="","",종목정보!$B17))</f>
        <v/>
      </c>
      <c r="C19" s="19">
        <f>IF(종목정보!$A17="","",IF(종목정보!$C17="","",종목정보!$C17))</f>
        <v/>
      </c>
      <c r="D19" s="19">
        <f>IF(종목정보!$A17="","",IF(종목정보!$E17="","",종목정보!$E17))</f>
        <v/>
      </c>
      <c r="E19" s="19">
        <f>IF(종목정보!$A17="","",IF(종목정보!$D17="","",종목정보!$D17))</f>
        <v/>
      </c>
      <c r="F19" s="14">
        <f>IF(종목정보!$A17="","",IFERROR(LOOKUP(2,1/(거래입력!$C$4:$C$253=$A19),거래입력!$L$4:$L$253),0))</f>
        <v/>
      </c>
      <c r="G19" s="14">
        <f>IF(종목정보!$A17="","",IFERROR(LOOKUP(2,1/(거래입력!$C$4:$C$253=$A19),거래입력!$O$4:$O$253),0))</f>
        <v/>
      </c>
      <c r="H19" s="20">
        <f>IF(종목정보!$A17="","",IF(종목정보!$F17="","",종목정보!$F17))</f>
        <v/>
      </c>
      <c r="I19" s="21">
        <f>IF(종목정보!$A17="","",IFERROR(INDEX(설정!$B$8:$B$15,MATCH($E19,설정!$A$8:$A$15,0)),""))</f>
        <v/>
      </c>
      <c r="J19" s="15">
        <f>IF(종목정보!$A17="","",IFERROR($F19*$G19*$I19,0))</f>
        <v/>
      </c>
      <c r="K19" s="15">
        <f>IF(종목정보!$A17="","",IFERROR(IF($H19="",$J19,$F19*$H19*$I19),0))</f>
        <v/>
      </c>
      <c r="L19" s="15">
        <f>IF(종목정보!$A17="","",IF($H19="","",$K19-$J19))</f>
        <v/>
      </c>
      <c r="M19" s="22">
        <f>IF(종목정보!$A17="","",IFERROR($L19/$J19,""))</f>
        <v/>
      </c>
      <c r="N19" s="22">
        <f>IF(종목정보!$A17="","",IFERROR($K19/보유현황!$D$3,0))</f>
        <v/>
      </c>
      <c r="O19" s="15">
        <f>IF(종목정보!$A17="","",IFERROR(SUMIFS(거래입력!$P$4:$P$253,거래입력!$C$4:$C$253,$A19)*$I19,0))</f>
        <v/>
      </c>
      <c r="P19" s="23">
        <f>IF(종목정보!$A17="","",IF($I19="","설정 시트에 환율을 넣으세요",IF($F19=0,"보유 없음",IF($H19="","시세 없음 - 매입가로 계산",""))))</f>
        <v/>
      </c>
    </row>
    <row r="20">
      <c r="A20" s="19">
        <f>IF(종목정보!$A18="","",IF(종목정보!$A18="","",종목정보!$A18))</f>
        <v/>
      </c>
      <c r="B20" s="19">
        <f>IF(종목정보!$A18="","",IF(종목정보!$B18="","",종목정보!$B18))</f>
        <v/>
      </c>
      <c r="C20" s="19">
        <f>IF(종목정보!$A18="","",IF(종목정보!$C18="","",종목정보!$C18))</f>
        <v/>
      </c>
      <c r="D20" s="19">
        <f>IF(종목정보!$A18="","",IF(종목정보!$E18="","",종목정보!$E18))</f>
        <v/>
      </c>
      <c r="E20" s="19">
        <f>IF(종목정보!$A18="","",IF(종목정보!$D18="","",종목정보!$D18))</f>
        <v/>
      </c>
      <c r="F20" s="14">
        <f>IF(종목정보!$A18="","",IFERROR(LOOKUP(2,1/(거래입력!$C$4:$C$253=$A20),거래입력!$L$4:$L$253),0))</f>
        <v/>
      </c>
      <c r="G20" s="14">
        <f>IF(종목정보!$A18="","",IFERROR(LOOKUP(2,1/(거래입력!$C$4:$C$253=$A20),거래입력!$O$4:$O$253),0))</f>
        <v/>
      </c>
      <c r="H20" s="20">
        <f>IF(종목정보!$A18="","",IF(종목정보!$F18="","",종목정보!$F18))</f>
        <v/>
      </c>
      <c r="I20" s="21">
        <f>IF(종목정보!$A18="","",IFERROR(INDEX(설정!$B$8:$B$15,MATCH($E20,설정!$A$8:$A$15,0)),""))</f>
        <v/>
      </c>
      <c r="J20" s="15">
        <f>IF(종목정보!$A18="","",IFERROR($F20*$G20*$I20,0))</f>
        <v/>
      </c>
      <c r="K20" s="15">
        <f>IF(종목정보!$A18="","",IFERROR(IF($H20="",$J20,$F20*$H20*$I20),0))</f>
        <v/>
      </c>
      <c r="L20" s="15">
        <f>IF(종목정보!$A18="","",IF($H20="","",$K20-$J20))</f>
        <v/>
      </c>
      <c r="M20" s="22">
        <f>IF(종목정보!$A18="","",IFERROR($L20/$J20,""))</f>
        <v/>
      </c>
      <c r="N20" s="22">
        <f>IF(종목정보!$A18="","",IFERROR($K20/보유현황!$D$3,0))</f>
        <v/>
      </c>
      <c r="O20" s="15">
        <f>IF(종목정보!$A18="","",IFERROR(SUMIFS(거래입력!$P$4:$P$253,거래입력!$C$4:$C$253,$A20)*$I20,0))</f>
        <v/>
      </c>
      <c r="P20" s="23">
        <f>IF(종목정보!$A18="","",IF($I20="","설정 시트에 환율을 넣으세요",IF($F20=0,"보유 없음",IF($H20="","시세 없음 - 매입가로 계산",""))))</f>
        <v/>
      </c>
    </row>
    <row r="21">
      <c r="A21" s="19">
        <f>IF(종목정보!$A19="","",IF(종목정보!$A19="","",종목정보!$A19))</f>
        <v/>
      </c>
      <c r="B21" s="19">
        <f>IF(종목정보!$A19="","",IF(종목정보!$B19="","",종목정보!$B19))</f>
        <v/>
      </c>
      <c r="C21" s="19">
        <f>IF(종목정보!$A19="","",IF(종목정보!$C19="","",종목정보!$C19))</f>
        <v/>
      </c>
      <c r="D21" s="19">
        <f>IF(종목정보!$A19="","",IF(종목정보!$E19="","",종목정보!$E19))</f>
        <v/>
      </c>
      <c r="E21" s="19">
        <f>IF(종목정보!$A19="","",IF(종목정보!$D19="","",종목정보!$D19))</f>
        <v/>
      </c>
      <c r="F21" s="14">
        <f>IF(종목정보!$A19="","",IFERROR(LOOKUP(2,1/(거래입력!$C$4:$C$253=$A21),거래입력!$L$4:$L$253),0))</f>
        <v/>
      </c>
      <c r="G21" s="14">
        <f>IF(종목정보!$A19="","",IFERROR(LOOKUP(2,1/(거래입력!$C$4:$C$253=$A21),거래입력!$O$4:$O$253),0))</f>
        <v/>
      </c>
      <c r="H21" s="20">
        <f>IF(종목정보!$A19="","",IF(종목정보!$F19="","",종목정보!$F19))</f>
        <v/>
      </c>
      <c r="I21" s="21">
        <f>IF(종목정보!$A19="","",IFERROR(INDEX(설정!$B$8:$B$15,MATCH($E21,설정!$A$8:$A$15,0)),""))</f>
        <v/>
      </c>
      <c r="J21" s="15">
        <f>IF(종목정보!$A19="","",IFERROR($F21*$G21*$I21,0))</f>
        <v/>
      </c>
      <c r="K21" s="15">
        <f>IF(종목정보!$A19="","",IFERROR(IF($H21="",$J21,$F21*$H21*$I21),0))</f>
        <v/>
      </c>
      <c r="L21" s="15">
        <f>IF(종목정보!$A19="","",IF($H21="","",$K21-$J21))</f>
        <v/>
      </c>
      <c r="M21" s="22">
        <f>IF(종목정보!$A19="","",IFERROR($L21/$J21,""))</f>
        <v/>
      </c>
      <c r="N21" s="22">
        <f>IF(종목정보!$A19="","",IFERROR($K21/보유현황!$D$3,0))</f>
        <v/>
      </c>
      <c r="O21" s="15">
        <f>IF(종목정보!$A19="","",IFERROR(SUMIFS(거래입력!$P$4:$P$253,거래입력!$C$4:$C$253,$A21)*$I21,0))</f>
        <v/>
      </c>
      <c r="P21" s="23">
        <f>IF(종목정보!$A19="","",IF($I21="","설정 시트에 환율을 넣으세요",IF($F21=0,"보유 없음",IF($H21="","시세 없음 - 매입가로 계산",""))))</f>
        <v/>
      </c>
    </row>
    <row r="22">
      <c r="A22" s="19">
        <f>IF(종목정보!$A20="","",IF(종목정보!$A20="","",종목정보!$A20))</f>
        <v/>
      </c>
      <c r="B22" s="19">
        <f>IF(종목정보!$A20="","",IF(종목정보!$B20="","",종목정보!$B20))</f>
        <v/>
      </c>
      <c r="C22" s="19">
        <f>IF(종목정보!$A20="","",IF(종목정보!$C20="","",종목정보!$C20))</f>
        <v/>
      </c>
      <c r="D22" s="19">
        <f>IF(종목정보!$A20="","",IF(종목정보!$E20="","",종목정보!$E20))</f>
        <v/>
      </c>
      <c r="E22" s="19">
        <f>IF(종목정보!$A20="","",IF(종목정보!$D20="","",종목정보!$D20))</f>
        <v/>
      </c>
      <c r="F22" s="14">
        <f>IF(종목정보!$A20="","",IFERROR(LOOKUP(2,1/(거래입력!$C$4:$C$253=$A22),거래입력!$L$4:$L$253),0))</f>
        <v/>
      </c>
      <c r="G22" s="14">
        <f>IF(종목정보!$A20="","",IFERROR(LOOKUP(2,1/(거래입력!$C$4:$C$253=$A22),거래입력!$O$4:$O$253),0))</f>
        <v/>
      </c>
      <c r="H22" s="20">
        <f>IF(종목정보!$A20="","",IF(종목정보!$F20="","",종목정보!$F20))</f>
        <v/>
      </c>
      <c r="I22" s="21">
        <f>IF(종목정보!$A20="","",IFERROR(INDEX(설정!$B$8:$B$15,MATCH($E22,설정!$A$8:$A$15,0)),""))</f>
        <v/>
      </c>
      <c r="J22" s="15">
        <f>IF(종목정보!$A20="","",IFERROR($F22*$G22*$I22,0))</f>
        <v/>
      </c>
      <c r="K22" s="15">
        <f>IF(종목정보!$A20="","",IFERROR(IF($H22="",$J22,$F22*$H22*$I22),0))</f>
        <v/>
      </c>
      <c r="L22" s="15">
        <f>IF(종목정보!$A20="","",IF($H22="","",$K22-$J22))</f>
        <v/>
      </c>
      <c r="M22" s="22">
        <f>IF(종목정보!$A20="","",IFERROR($L22/$J22,""))</f>
        <v/>
      </c>
      <c r="N22" s="22">
        <f>IF(종목정보!$A20="","",IFERROR($K22/보유현황!$D$3,0))</f>
        <v/>
      </c>
      <c r="O22" s="15">
        <f>IF(종목정보!$A20="","",IFERROR(SUMIFS(거래입력!$P$4:$P$253,거래입력!$C$4:$C$253,$A22)*$I22,0))</f>
        <v/>
      </c>
      <c r="P22" s="23">
        <f>IF(종목정보!$A20="","",IF($I22="","설정 시트에 환율을 넣으세요",IF($F22=0,"보유 없음",IF($H22="","시세 없음 - 매입가로 계산",""))))</f>
        <v/>
      </c>
    </row>
    <row r="23">
      <c r="A23" s="19">
        <f>IF(종목정보!$A21="","",IF(종목정보!$A21="","",종목정보!$A21))</f>
        <v/>
      </c>
      <c r="B23" s="19">
        <f>IF(종목정보!$A21="","",IF(종목정보!$B21="","",종목정보!$B21))</f>
        <v/>
      </c>
      <c r="C23" s="19">
        <f>IF(종목정보!$A21="","",IF(종목정보!$C21="","",종목정보!$C21))</f>
        <v/>
      </c>
      <c r="D23" s="19">
        <f>IF(종목정보!$A21="","",IF(종목정보!$E21="","",종목정보!$E21))</f>
        <v/>
      </c>
      <c r="E23" s="19">
        <f>IF(종목정보!$A21="","",IF(종목정보!$D21="","",종목정보!$D21))</f>
        <v/>
      </c>
      <c r="F23" s="14">
        <f>IF(종목정보!$A21="","",IFERROR(LOOKUP(2,1/(거래입력!$C$4:$C$253=$A23),거래입력!$L$4:$L$253),0))</f>
        <v/>
      </c>
      <c r="G23" s="14">
        <f>IF(종목정보!$A21="","",IFERROR(LOOKUP(2,1/(거래입력!$C$4:$C$253=$A23),거래입력!$O$4:$O$253),0))</f>
        <v/>
      </c>
      <c r="H23" s="20">
        <f>IF(종목정보!$A21="","",IF(종목정보!$F21="","",종목정보!$F21))</f>
        <v/>
      </c>
      <c r="I23" s="21">
        <f>IF(종목정보!$A21="","",IFERROR(INDEX(설정!$B$8:$B$15,MATCH($E23,설정!$A$8:$A$15,0)),""))</f>
        <v/>
      </c>
      <c r="J23" s="15">
        <f>IF(종목정보!$A21="","",IFERROR($F23*$G23*$I23,0))</f>
        <v/>
      </c>
      <c r="K23" s="15">
        <f>IF(종목정보!$A21="","",IFERROR(IF($H23="",$J23,$F23*$H23*$I23),0))</f>
        <v/>
      </c>
      <c r="L23" s="15">
        <f>IF(종목정보!$A21="","",IF($H23="","",$K23-$J23))</f>
        <v/>
      </c>
      <c r="M23" s="22">
        <f>IF(종목정보!$A21="","",IFERROR($L23/$J23,""))</f>
        <v/>
      </c>
      <c r="N23" s="22">
        <f>IF(종목정보!$A21="","",IFERROR($K23/보유현황!$D$3,0))</f>
        <v/>
      </c>
      <c r="O23" s="15">
        <f>IF(종목정보!$A21="","",IFERROR(SUMIFS(거래입력!$P$4:$P$253,거래입력!$C$4:$C$253,$A23)*$I23,0))</f>
        <v/>
      </c>
      <c r="P23" s="23">
        <f>IF(종목정보!$A21="","",IF($I23="","설정 시트에 환율을 넣으세요",IF($F23=0,"보유 없음",IF($H23="","시세 없음 - 매입가로 계산",""))))</f>
        <v/>
      </c>
    </row>
    <row r="24">
      <c r="A24" s="19">
        <f>IF(종목정보!$A22="","",IF(종목정보!$A22="","",종목정보!$A22))</f>
        <v/>
      </c>
      <c r="B24" s="19">
        <f>IF(종목정보!$A22="","",IF(종목정보!$B22="","",종목정보!$B22))</f>
        <v/>
      </c>
      <c r="C24" s="19">
        <f>IF(종목정보!$A22="","",IF(종목정보!$C22="","",종목정보!$C22))</f>
        <v/>
      </c>
      <c r="D24" s="19">
        <f>IF(종목정보!$A22="","",IF(종목정보!$E22="","",종목정보!$E22))</f>
        <v/>
      </c>
      <c r="E24" s="19">
        <f>IF(종목정보!$A22="","",IF(종목정보!$D22="","",종목정보!$D22))</f>
        <v/>
      </c>
      <c r="F24" s="14">
        <f>IF(종목정보!$A22="","",IFERROR(LOOKUP(2,1/(거래입력!$C$4:$C$253=$A24),거래입력!$L$4:$L$253),0))</f>
        <v/>
      </c>
      <c r="G24" s="14">
        <f>IF(종목정보!$A22="","",IFERROR(LOOKUP(2,1/(거래입력!$C$4:$C$253=$A24),거래입력!$O$4:$O$253),0))</f>
        <v/>
      </c>
      <c r="H24" s="20">
        <f>IF(종목정보!$A22="","",IF(종목정보!$F22="","",종목정보!$F22))</f>
        <v/>
      </c>
      <c r="I24" s="21">
        <f>IF(종목정보!$A22="","",IFERROR(INDEX(설정!$B$8:$B$15,MATCH($E24,설정!$A$8:$A$15,0)),""))</f>
        <v/>
      </c>
      <c r="J24" s="15">
        <f>IF(종목정보!$A22="","",IFERROR($F24*$G24*$I24,0))</f>
        <v/>
      </c>
      <c r="K24" s="15">
        <f>IF(종목정보!$A22="","",IFERROR(IF($H24="",$J24,$F24*$H24*$I24),0))</f>
        <v/>
      </c>
      <c r="L24" s="15">
        <f>IF(종목정보!$A22="","",IF($H24="","",$K24-$J24))</f>
        <v/>
      </c>
      <c r="M24" s="22">
        <f>IF(종목정보!$A22="","",IFERROR($L24/$J24,""))</f>
        <v/>
      </c>
      <c r="N24" s="22">
        <f>IF(종목정보!$A22="","",IFERROR($K24/보유현황!$D$3,0))</f>
        <v/>
      </c>
      <c r="O24" s="15">
        <f>IF(종목정보!$A22="","",IFERROR(SUMIFS(거래입력!$P$4:$P$253,거래입력!$C$4:$C$253,$A24)*$I24,0))</f>
        <v/>
      </c>
      <c r="P24" s="23">
        <f>IF(종목정보!$A22="","",IF($I24="","설정 시트에 환율을 넣으세요",IF($F24=0,"보유 없음",IF($H24="","시세 없음 - 매입가로 계산",""))))</f>
        <v/>
      </c>
    </row>
    <row r="25">
      <c r="A25" s="19">
        <f>IF(종목정보!$A23="","",IF(종목정보!$A23="","",종목정보!$A23))</f>
        <v/>
      </c>
      <c r="B25" s="19">
        <f>IF(종목정보!$A23="","",IF(종목정보!$B23="","",종목정보!$B23))</f>
        <v/>
      </c>
      <c r="C25" s="19">
        <f>IF(종목정보!$A23="","",IF(종목정보!$C23="","",종목정보!$C23))</f>
        <v/>
      </c>
      <c r="D25" s="19">
        <f>IF(종목정보!$A23="","",IF(종목정보!$E23="","",종목정보!$E23))</f>
        <v/>
      </c>
      <c r="E25" s="19">
        <f>IF(종목정보!$A23="","",IF(종목정보!$D23="","",종목정보!$D23))</f>
        <v/>
      </c>
      <c r="F25" s="14">
        <f>IF(종목정보!$A23="","",IFERROR(LOOKUP(2,1/(거래입력!$C$4:$C$253=$A25),거래입력!$L$4:$L$253),0))</f>
        <v/>
      </c>
      <c r="G25" s="14">
        <f>IF(종목정보!$A23="","",IFERROR(LOOKUP(2,1/(거래입력!$C$4:$C$253=$A25),거래입력!$O$4:$O$253),0))</f>
        <v/>
      </c>
      <c r="H25" s="20">
        <f>IF(종목정보!$A23="","",IF(종목정보!$F23="","",종목정보!$F23))</f>
        <v/>
      </c>
      <c r="I25" s="21">
        <f>IF(종목정보!$A23="","",IFERROR(INDEX(설정!$B$8:$B$15,MATCH($E25,설정!$A$8:$A$15,0)),""))</f>
        <v/>
      </c>
      <c r="J25" s="15">
        <f>IF(종목정보!$A23="","",IFERROR($F25*$G25*$I25,0))</f>
        <v/>
      </c>
      <c r="K25" s="15">
        <f>IF(종목정보!$A23="","",IFERROR(IF($H25="",$J25,$F25*$H25*$I25),0))</f>
        <v/>
      </c>
      <c r="L25" s="15">
        <f>IF(종목정보!$A23="","",IF($H25="","",$K25-$J25))</f>
        <v/>
      </c>
      <c r="M25" s="22">
        <f>IF(종목정보!$A23="","",IFERROR($L25/$J25,""))</f>
        <v/>
      </c>
      <c r="N25" s="22">
        <f>IF(종목정보!$A23="","",IFERROR($K25/보유현황!$D$3,0))</f>
        <v/>
      </c>
      <c r="O25" s="15">
        <f>IF(종목정보!$A23="","",IFERROR(SUMIFS(거래입력!$P$4:$P$253,거래입력!$C$4:$C$253,$A25)*$I25,0))</f>
        <v/>
      </c>
      <c r="P25" s="23">
        <f>IF(종목정보!$A23="","",IF($I25="","설정 시트에 환율을 넣으세요",IF($F25=0,"보유 없음",IF($H25="","시세 없음 - 매입가로 계산",""))))</f>
        <v/>
      </c>
    </row>
    <row r="26">
      <c r="A26" s="19">
        <f>IF(종목정보!$A24="","",IF(종목정보!$A24="","",종목정보!$A24))</f>
        <v/>
      </c>
      <c r="B26" s="19">
        <f>IF(종목정보!$A24="","",IF(종목정보!$B24="","",종목정보!$B24))</f>
        <v/>
      </c>
      <c r="C26" s="19">
        <f>IF(종목정보!$A24="","",IF(종목정보!$C24="","",종목정보!$C24))</f>
        <v/>
      </c>
      <c r="D26" s="19">
        <f>IF(종목정보!$A24="","",IF(종목정보!$E24="","",종목정보!$E24))</f>
        <v/>
      </c>
      <c r="E26" s="19">
        <f>IF(종목정보!$A24="","",IF(종목정보!$D24="","",종목정보!$D24))</f>
        <v/>
      </c>
      <c r="F26" s="14">
        <f>IF(종목정보!$A24="","",IFERROR(LOOKUP(2,1/(거래입력!$C$4:$C$253=$A26),거래입력!$L$4:$L$253),0))</f>
        <v/>
      </c>
      <c r="G26" s="14">
        <f>IF(종목정보!$A24="","",IFERROR(LOOKUP(2,1/(거래입력!$C$4:$C$253=$A26),거래입력!$O$4:$O$253),0))</f>
        <v/>
      </c>
      <c r="H26" s="20">
        <f>IF(종목정보!$A24="","",IF(종목정보!$F24="","",종목정보!$F24))</f>
        <v/>
      </c>
      <c r="I26" s="21">
        <f>IF(종목정보!$A24="","",IFERROR(INDEX(설정!$B$8:$B$15,MATCH($E26,설정!$A$8:$A$15,0)),""))</f>
        <v/>
      </c>
      <c r="J26" s="15">
        <f>IF(종목정보!$A24="","",IFERROR($F26*$G26*$I26,0))</f>
        <v/>
      </c>
      <c r="K26" s="15">
        <f>IF(종목정보!$A24="","",IFERROR(IF($H26="",$J26,$F26*$H26*$I26),0))</f>
        <v/>
      </c>
      <c r="L26" s="15">
        <f>IF(종목정보!$A24="","",IF($H26="","",$K26-$J26))</f>
        <v/>
      </c>
      <c r="M26" s="22">
        <f>IF(종목정보!$A24="","",IFERROR($L26/$J26,""))</f>
        <v/>
      </c>
      <c r="N26" s="22">
        <f>IF(종목정보!$A24="","",IFERROR($K26/보유현황!$D$3,0))</f>
        <v/>
      </c>
      <c r="O26" s="15">
        <f>IF(종목정보!$A24="","",IFERROR(SUMIFS(거래입력!$P$4:$P$253,거래입력!$C$4:$C$253,$A26)*$I26,0))</f>
        <v/>
      </c>
      <c r="P26" s="23">
        <f>IF(종목정보!$A24="","",IF($I26="","설정 시트에 환율을 넣으세요",IF($F26=0,"보유 없음",IF($H26="","시세 없음 - 매입가로 계산",""))))</f>
        <v/>
      </c>
    </row>
    <row r="27">
      <c r="A27" s="19">
        <f>IF(종목정보!$A25="","",IF(종목정보!$A25="","",종목정보!$A25))</f>
        <v/>
      </c>
      <c r="B27" s="19">
        <f>IF(종목정보!$A25="","",IF(종목정보!$B25="","",종목정보!$B25))</f>
        <v/>
      </c>
      <c r="C27" s="19">
        <f>IF(종목정보!$A25="","",IF(종목정보!$C25="","",종목정보!$C25))</f>
        <v/>
      </c>
      <c r="D27" s="19">
        <f>IF(종목정보!$A25="","",IF(종목정보!$E25="","",종목정보!$E25))</f>
        <v/>
      </c>
      <c r="E27" s="19">
        <f>IF(종목정보!$A25="","",IF(종목정보!$D25="","",종목정보!$D25))</f>
        <v/>
      </c>
      <c r="F27" s="14">
        <f>IF(종목정보!$A25="","",IFERROR(LOOKUP(2,1/(거래입력!$C$4:$C$253=$A27),거래입력!$L$4:$L$253),0))</f>
        <v/>
      </c>
      <c r="G27" s="14">
        <f>IF(종목정보!$A25="","",IFERROR(LOOKUP(2,1/(거래입력!$C$4:$C$253=$A27),거래입력!$O$4:$O$253),0))</f>
        <v/>
      </c>
      <c r="H27" s="20">
        <f>IF(종목정보!$A25="","",IF(종목정보!$F25="","",종목정보!$F25))</f>
        <v/>
      </c>
      <c r="I27" s="21">
        <f>IF(종목정보!$A25="","",IFERROR(INDEX(설정!$B$8:$B$15,MATCH($E27,설정!$A$8:$A$15,0)),""))</f>
        <v/>
      </c>
      <c r="J27" s="15">
        <f>IF(종목정보!$A25="","",IFERROR($F27*$G27*$I27,0))</f>
        <v/>
      </c>
      <c r="K27" s="15">
        <f>IF(종목정보!$A25="","",IFERROR(IF($H27="",$J27,$F27*$H27*$I27),0))</f>
        <v/>
      </c>
      <c r="L27" s="15">
        <f>IF(종목정보!$A25="","",IF($H27="","",$K27-$J27))</f>
        <v/>
      </c>
      <c r="M27" s="22">
        <f>IF(종목정보!$A25="","",IFERROR($L27/$J27,""))</f>
        <v/>
      </c>
      <c r="N27" s="22">
        <f>IF(종목정보!$A25="","",IFERROR($K27/보유현황!$D$3,0))</f>
        <v/>
      </c>
      <c r="O27" s="15">
        <f>IF(종목정보!$A25="","",IFERROR(SUMIFS(거래입력!$P$4:$P$253,거래입력!$C$4:$C$253,$A27)*$I27,0))</f>
        <v/>
      </c>
      <c r="P27" s="23">
        <f>IF(종목정보!$A25="","",IF($I27="","설정 시트에 환율을 넣으세요",IF($F27=0,"보유 없음",IF($H27="","시세 없음 - 매입가로 계산",""))))</f>
        <v/>
      </c>
    </row>
    <row r="28">
      <c r="A28" s="19">
        <f>IF(종목정보!$A26="","",IF(종목정보!$A26="","",종목정보!$A26))</f>
        <v/>
      </c>
      <c r="B28" s="19">
        <f>IF(종목정보!$A26="","",IF(종목정보!$B26="","",종목정보!$B26))</f>
        <v/>
      </c>
      <c r="C28" s="19">
        <f>IF(종목정보!$A26="","",IF(종목정보!$C26="","",종목정보!$C26))</f>
        <v/>
      </c>
      <c r="D28" s="19">
        <f>IF(종목정보!$A26="","",IF(종목정보!$E26="","",종목정보!$E26))</f>
        <v/>
      </c>
      <c r="E28" s="19">
        <f>IF(종목정보!$A26="","",IF(종목정보!$D26="","",종목정보!$D26))</f>
        <v/>
      </c>
      <c r="F28" s="14">
        <f>IF(종목정보!$A26="","",IFERROR(LOOKUP(2,1/(거래입력!$C$4:$C$253=$A28),거래입력!$L$4:$L$253),0))</f>
        <v/>
      </c>
      <c r="G28" s="14">
        <f>IF(종목정보!$A26="","",IFERROR(LOOKUP(2,1/(거래입력!$C$4:$C$253=$A28),거래입력!$O$4:$O$253),0))</f>
        <v/>
      </c>
      <c r="H28" s="20">
        <f>IF(종목정보!$A26="","",IF(종목정보!$F26="","",종목정보!$F26))</f>
        <v/>
      </c>
      <c r="I28" s="21">
        <f>IF(종목정보!$A26="","",IFERROR(INDEX(설정!$B$8:$B$15,MATCH($E28,설정!$A$8:$A$15,0)),""))</f>
        <v/>
      </c>
      <c r="J28" s="15">
        <f>IF(종목정보!$A26="","",IFERROR($F28*$G28*$I28,0))</f>
        <v/>
      </c>
      <c r="K28" s="15">
        <f>IF(종목정보!$A26="","",IFERROR(IF($H28="",$J28,$F28*$H28*$I28),0))</f>
        <v/>
      </c>
      <c r="L28" s="15">
        <f>IF(종목정보!$A26="","",IF($H28="","",$K28-$J28))</f>
        <v/>
      </c>
      <c r="M28" s="22">
        <f>IF(종목정보!$A26="","",IFERROR($L28/$J28,""))</f>
        <v/>
      </c>
      <c r="N28" s="22">
        <f>IF(종목정보!$A26="","",IFERROR($K28/보유현황!$D$3,0))</f>
        <v/>
      </c>
      <c r="O28" s="15">
        <f>IF(종목정보!$A26="","",IFERROR(SUMIFS(거래입력!$P$4:$P$253,거래입력!$C$4:$C$253,$A28)*$I28,0))</f>
        <v/>
      </c>
      <c r="P28" s="23">
        <f>IF(종목정보!$A26="","",IF($I28="","설정 시트에 환율을 넣으세요",IF($F28=0,"보유 없음",IF($H28="","시세 없음 - 매입가로 계산",""))))</f>
        <v/>
      </c>
    </row>
    <row r="29">
      <c r="A29" s="19">
        <f>IF(종목정보!$A27="","",IF(종목정보!$A27="","",종목정보!$A27))</f>
        <v/>
      </c>
      <c r="B29" s="19">
        <f>IF(종목정보!$A27="","",IF(종목정보!$B27="","",종목정보!$B27))</f>
        <v/>
      </c>
      <c r="C29" s="19">
        <f>IF(종목정보!$A27="","",IF(종목정보!$C27="","",종목정보!$C27))</f>
        <v/>
      </c>
      <c r="D29" s="19">
        <f>IF(종목정보!$A27="","",IF(종목정보!$E27="","",종목정보!$E27))</f>
        <v/>
      </c>
      <c r="E29" s="19">
        <f>IF(종목정보!$A27="","",IF(종목정보!$D27="","",종목정보!$D27))</f>
        <v/>
      </c>
      <c r="F29" s="14">
        <f>IF(종목정보!$A27="","",IFERROR(LOOKUP(2,1/(거래입력!$C$4:$C$253=$A29),거래입력!$L$4:$L$253),0))</f>
        <v/>
      </c>
      <c r="G29" s="14">
        <f>IF(종목정보!$A27="","",IFERROR(LOOKUP(2,1/(거래입력!$C$4:$C$253=$A29),거래입력!$O$4:$O$253),0))</f>
        <v/>
      </c>
      <c r="H29" s="20">
        <f>IF(종목정보!$A27="","",IF(종목정보!$F27="","",종목정보!$F27))</f>
        <v/>
      </c>
      <c r="I29" s="21">
        <f>IF(종목정보!$A27="","",IFERROR(INDEX(설정!$B$8:$B$15,MATCH($E29,설정!$A$8:$A$15,0)),""))</f>
        <v/>
      </c>
      <c r="J29" s="15">
        <f>IF(종목정보!$A27="","",IFERROR($F29*$G29*$I29,0))</f>
        <v/>
      </c>
      <c r="K29" s="15">
        <f>IF(종목정보!$A27="","",IFERROR(IF($H29="",$J29,$F29*$H29*$I29),0))</f>
        <v/>
      </c>
      <c r="L29" s="15">
        <f>IF(종목정보!$A27="","",IF($H29="","",$K29-$J29))</f>
        <v/>
      </c>
      <c r="M29" s="22">
        <f>IF(종목정보!$A27="","",IFERROR($L29/$J29,""))</f>
        <v/>
      </c>
      <c r="N29" s="22">
        <f>IF(종목정보!$A27="","",IFERROR($K29/보유현황!$D$3,0))</f>
        <v/>
      </c>
      <c r="O29" s="15">
        <f>IF(종목정보!$A27="","",IFERROR(SUMIFS(거래입력!$P$4:$P$253,거래입력!$C$4:$C$253,$A29)*$I29,0))</f>
        <v/>
      </c>
      <c r="P29" s="23">
        <f>IF(종목정보!$A27="","",IF($I29="","설정 시트에 환율을 넣으세요",IF($F29=0,"보유 없음",IF($H29="","시세 없음 - 매입가로 계산",""))))</f>
        <v/>
      </c>
    </row>
    <row r="30">
      <c r="A30" s="19">
        <f>IF(종목정보!$A28="","",IF(종목정보!$A28="","",종목정보!$A28))</f>
        <v/>
      </c>
      <c r="B30" s="19">
        <f>IF(종목정보!$A28="","",IF(종목정보!$B28="","",종목정보!$B28))</f>
        <v/>
      </c>
      <c r="C30" s="19">
        <f>IF(종목정보!$A28="","",IF(종목정보!$C28="","",종목정보!$C28))</f>
        <v/>
      </c>
      <c r="D30" s="19">
        <f>IF(종목정보!$A28="","",IF(종목정보!$E28="","",종목정보!$E28))</f>
        <v/>
      </c>
      <c r="E30" s="19">
        <f>IF(종목정보!$A28="","",IF(종목정보!$D28="","",종목정보!$D28))</f>
        <v/>
      </c>
      <c r="F30" s="14">
        <f>IF(종목정보!$A28="","",IFERROR(LOOKUP(2,1/(거래입력!$C$4:$C$253=$A30),거래입력!$L$4:$L$253),0))</f>
        <v/>
      </c>
      <c r="G30" s="14">
        <f>IF(종목정보!$A28="","",IFERROR(LOOKUP(2,1/(거래입력!$C$4:$C$253=$A30),거래입력!$O$4:$O$253),0))</f>
        <v/>
      </c>
      <c r="H30" s="20">
        <f>IF(종목정보!$A28="","",IF(종목정보!$F28="","",종목정보!$F28))</f>
        <v/>
      </c>
      <c r="I30" s="21">
        <f>IF(종목정보!$A28="","",IFERROR(INDEX(설정!$B$8:$B$15,MATCH($E30,설정!$A$8:$A$15,0)),""))</f>
        <v/>
      </c>
      <c r="J30" s="15">
        <f>IF(종목정보!$A28="","",IFERROR($F30*$G30*$I30,0))</f>
        <v/>
      </c>
      <c r="K30" s="15">
        <f>IF(종목정보!$A28="","",IFERROR(IF($H30="",$J30,$F30*$H30*$I30),0))</f>
        <v/>
      </c>
      <c r="L30" s="15">
        <f>IF(종목정보!$A28="","",IF($H30="","",$K30-$J30))</f>
        <v/>
      </c>
      <c r="M30" s="22">
        <f>IF(종목정보!$A28="","",IFERROR($L30/$J30,""))</f>
        <v/>
      </c>
      <c r="N30" s="22">
        <f>IF(종목정보!$A28="","",IFERROR($K30/보유현황!$D$3,0))</f>
        <v/>
      </c>
      <c r="O30" s="15">
        <f>IF(종목정보!$A28="","",IFERROR(SUMIFS(거래입력!$P$4:$P$253,거래입력!$C$4:$C$253,$A30)*$I30,0))</f>
        <v/>
      </c>
      <c r="P30" s="23">
        <f>IF(종목정보!$A28="","",IF($I30="","설정 시트에 환율을 넣으세요",IF($F30=0,"보유 없음",IF($H30="","시세 없음 - 매입가로 계산",""))))</f>
        <v/>
      </c>
    </row>
    <row r="31">
      <c r="A31" s="19">
        <f>IF(종목정보!$A29="","",IF(종목정보!$A29="","",종목정보!$A29))</f>
        <v/>
      </c>
      <c r="B31" s="19">
        <f>IF(종목정보!$A29="","",IF(종목정보!$B29="","",종목정보!$B29))</f>
        <v/>
      </c>
      <c r="C31" s="19">
        <f>IF(종목정보!$A29="","",IF(종목정보!$C29="","",종목정보!$C29))</f>
        <v/>
      </c>
      <c r="D31" s="19">
        <f>IF(종목정보!$A29="","",IF(종목정보!$E29="","",종목정보!$E29))</f>
        <v/>
      </c>
      <c r="E31" s="19">
        <f>IF(종목정보!$A29="","",IF(종목정보!$D29="","",종목정보!$D29))</f>
        <v/>
      </c>
      <c r="F31" s="14">
        <f>IF(종목정보!$A29="","",IFERROR(LOOKUP(2,1/(거래입력!$C$4:$C$253=$A31),거래입력!$L$4:$L$253),0))</f>
        <v/>
      </c>
      <c r="G31" s="14">
        <f>IF(종목정보!$A29="","",IFERROR(LOOKUP(2,1/(거래입력!$C$4:$C$253=$A31),거래입력!$O$4:$O$253),0))</f>
        <v/>
      </c>
      <c r="H31" s="20">
        <f>IF(종목정보!$A29="","",IF(종목정보!$F29="","",종목정보!$F29))</f>
        <v/>
      </c>
      <c r="I31" s="21">
        <f>IF(종목정보!$A29="","",IFERROR(INDEX(설정!$B$8:$B$15,MATCH($E31,설정!$A$8:$A$15,0)),""))</f>
        <v/>
      </c>
      <c r="J31" s="15">
        <f>IF(종목정보!$A29="","",IFERROR($F31*$G31*$I31,0))</f>
        <v/>
      </c>
      <c r="K31" s="15">
        <f>IF(종목정보!$A29="","",IFERROR(IF($H31="",$J31,$F31*$H31*$I31),0))</f>
        <v/>
      </c>
      <c r="L31" s="15">
        <f>IF(종목정보!$A29="","",IF($H31="","",$K31-$J31))</f>
        <v/>
      </c>
      <c r="M31" s="22">
        <f>IF(종목정보!$A29="","",IFERROR($L31/$J31,""))</f>
        <v/>
      </c>
      <c r="N31" s="22">
        <f>IF(종목정보!$A29="","",IFERROR($K31/보유현황!$D$3,0))</f>
        <v/>
      </c>
      <c r="O31" s="15">
        <f>IF(종목정보!$A29="","",IFERROR(SUMIFS(거래입력!$P$4:$P$253,거래입력!$C$4:$C$253,$A31)*$I31,0))</f>
        <v/>
      </c>
      <c r="P31" s="23">
        <f>IF(종목정보!$A29="","",IF($I31="","설정 시트에 환율을 넣으세요",IF($F31=0,"보유 없음",IF($H31="","시세 없음 - 매입가로 계산",""))))</f>
        <v/>
      </c>
    </row>
    <row r="32">
      <c r="A32" s="19">
        <f>IF(종목정보!$A30="","",IF(종목정보!$A30="","",종목정보!$A30))</f>
        <v/>
      </c>
      <c r="B32" s="19">
        <f>IF(종목정보!$A30="","",IF(종목정보!$B30="","",종목정보!$B30))</f>
        <v/>
      </c>
      <c r="C32" s="19">
        <f>IF(종목정보!$A30="","",IF(종목정보!$C30="","",종목정보!$C30))</f>
        <v/>
      </c>
      <c r="D32" s="19">
        <f>IF(종목정보!$A30="","",IF(종목정보!$E30="","",종목정보!$E30))</f>
        <v/>
      </c>
      <c r="E32" s="19">
        <f>IF(종목정보!$A30="","",IF(종목정보!$D30="","",종목정보!$D30))</f>
        <v/>
      </c>
      <c r="F32" s="14">
        <f>IF(종목정보!$A30="","",IFERROR(LOOKUP(2,1/(거래입력!$C$4:$C$253=$A32),거래입력!$L$4:$L$253),0))</f>
        <v/>
      </c>
      <c r="G32" s="14">
        <f>IF(종목정보!$A30="","",IFERROR(LOOKUP(2,1/(거래입력!$C$4:$C$253=$A32),거래입력!$O$4:$O$253),0))</f>
        <v/>
      </c>
      <c r="H32" s="20">
        <f>IF(종목정보!$A30="","",IF(종목정보!$F30="","",종목정보!$F30))</f>
        <v/>
      </c>
      <c r="I32" s="21">
        <f>IF(종목정보!$A30="","",IFERROR(INDEX(설정!$B$8:$B$15,MATCH($E32,설정!$A$8:$A$15,0)),""))</f>
        <v/>
      </c>
      <c r="J32" s="15">
        <f>IF(종목정보!$A30="","",IFERROR($F32*$G32*$I32,0))</f>
        <v/>
      </c>
      <c r="K32" s="15">
        <f>IF(종목정보!$A30="","",IFERROR(IF($H32="",$J32,$F32*$H32*$I32),0))</f>
        <v/>
      </c>
      <c r="L32" s="15">
        <f>IF(종목정보!$A30="","",IF($H32="","",$K32-$J32))</f>
        <v/>
      </c>
      <c r="M32" s="22">
        <f>IF(종목정보!$A30="","",IFERROR($L32/$J32,""))</f>
        <v/>
      </c>
      <c r="N32" s="22">
        <f>IF(종목정보!$A30="","",IFERROR($K32/보유현황!$D$3,0))</f>
        <v/>
      </c>
      <c r="O32" s="15">
        <f>IF(종목정보!$A30="","",IFERROR(SUMIFS(거래입력!$P$4:$P$253,거래입력!$C$4:$C$253,$A32)*$I32,0))</f>
        <v/>
      </c>
      <c r="P32" s="23">
        <f>IF(종목정보!$A30="","",IF($I32="","설정 시트에 환율을 넣으세요",IF($F32=0,"보유 없음",IF($H32="","시세 없음 - 매입가로 계산",""))))</f>
        <v/>
      </c>
    </row>
    <row r="33">
      <c r="A33" s="19">
        <f>IF(종목정보!$A31="","",IF(종목정보!$A31="","",종목정보!$A31))</f>
        <v/>
      </c>
      <c r="B33" s="19">
        <f>IF(종목정보!$A31="","",IF(종목정보!$B31="","",종목정보!$B31))</f>
        <v/>
      </c>
      <c r="C33" s="19">
        <f>IF(종목정보!$A31="","",IF(종목정보!$C31="","",종목정보!$C31))</f>
        <v/>
      </c>
      <c r="D33" s="19">
        <f>IF(종목정보!$A31="","",IF(종목정보!$E31="","",종목정보!$E31))</f>
        <v/>
      </c>
      <c r="E33" s="19">
        <f>IF(종목정보!$A31="","",IF(종목정보!$D31="","",종목정보!$D31))</f>
        <v/>
      </c>
      <c r="F33" s="14">
        <f>IF(종목정보!$A31="","",IFERROR(LOOKUP(2,1/(거래입력!$C$4:$C$253=$A33),거래입력!$L$4:$L$253),0))</f>
        <v/>
      </c>
      <c r="G33" s="14">
        <f>IF(종목정보!$A31="","",IFERROR(LOOKUP(2,1/(거래입력!$C$4:$C$253=$A33),거래입력!$O$4:$O$253),0))</f>
        <v/>
      </c>
      <c r="H33" s="20">
        <f>IF(종목정보!$A31="","",IF(종목정보!$F31="","",종목정보!$F31))</f>
        <v/>
      </c>
      <c r="I33" s="21">
        <f>IF(종목정보!$A31="","",IFERROR(INDEX(설정!$B$8:$B$15,MATCH($E33,설정!$A$8:$A$15,0)),""))</f>
        <v/>
      </c>
      <c r="J33" s="15">
        <f>IF(종목정보!$A31="","",IFERROR($F33*$G33*$I33,0))</f>
        <v/>
      </c>
      <c r="K33" s="15">
        <f>IF(종목정보!$A31="","",IFERROR(IF($H33="",$J33,$F33*$H33*$I33),0))</f>
        <v/>
      </c>
      <c r="L33" s="15">
        <f>IF(종목정보!$A31="","",IF($H33="","",$K33-$J33))</f>
        <v/>
      </c>
      <c r="M33" s="22">
        <f>IF(종목정보!$A31="","",IFERROR($L33/$J33,""))</f>
        <v/>
      </c>
      <c r="N33" s="22">
        <f>IF(종목정보!$A31="","",IFERROR($K33/보유현황!$D$3,0))</f>
        <v/>
      </c>
      <c r="O33" s="15">
        <f>IF(종목정보!$A31="","",IFERROR(SUMIFS(거래입력!$P$4:$P$253,거래입력!$C$4:$C$253,$A33)*$I33,0))</f>
        <v/>
      </c>
      <c r="P33" s="23">
        <f>IF(종목정보!$A31="","",IF($I33="","설정 시트에 환율을 넣으세요",IF($F33=0,"보유 없음",IF($H33="","시세 없음 - 매입가로 계산",""))))</f>
        <v/>
      </c>
    </row>
    <row r="34">
      <c r="A34" s="19">
        <f>IF(종목정보!$A32="","",IF(종목정보!$A32="","",종목정보!$A32))</f>
        <v/>
      </c>
      <c r="B34" s="19">
        <f>IF(종목정보!$A32="","",IF(종목정보!$B32="","",종목정보!$B32))</f>
        <v/>
      </c>
      <c r="C34" s="19">
        <f>IF(종목정보!$A32="","",IF(종목정보!$C32="","",종목정보!$C32))</f>
        <v/>
      </c>
      <c r="D34" s="19">
        <f>IF(종목정보!$A32="","",IF(종목정보!$E32="","",종목정보!$E32))</f>
        <v/>
      </c>
      <c r="E34" s="19">
        <f>IF(종목정보!$A32="","",IF(종목정보!$D32="","",종목정보!$D32))</f>
        <v/>
      </c>
      <c r="F34" s="14">
        <f>IF(종목정보!$A32="","",IFERROR(LOOKUP(2,1/(거래입력!$C$4:$C$253=$A34),거래입력!$L$4:$L$253),0))</f>
        <v/>
      </c>
      <c r="G34" s="14">
        <f>IF(종목정보!$A32="","",IFERROR(LOOKUP(2,1/(거래입력!$C$4:$C$253=$A34),거래입력!$O$4:$O$253),0))</f>
        <v/>
      </c>
      <c r="H34" s="20">
        <f>IF(종목정보!$A32="","",IF(종목정보!$F32="","",종목정보!$F32))</f>
        <v/>
      </c>
      <c r="I34" s="21">
        <f>IF(종목정보!$A32="","",IFERROR(INDEX(설정!$B$8:$B$15,MATCH($E34,설정!$A$8:$A$15,0)),""))</f>
        <v/>
      </c>
      <c r="J34" s="15">
        <f>IF(종목정보!$A32="","",IFERROR($F34*$G34*$I34,0))</f>
        <v/>
      </c>
      <c r="K34" s="15">
        <f>IF(종목정보!$A32="","",IFERROR(IF($H34="",$J34,$F34*$H34*$I34),0))</f>
        <v/>
      </c>
      <c r="L34" s="15">
        <f>IF(종목정보!$A32="","",IF($H34="","",$K34-$J34))</f>
        <v/>
      </c>
      <c r="M34" s="22">
        <f>IF(종목정보!$A32="","",IFERROR($L34/$J34,""))</f>
        <v/>
      </c>
      <c r="N34" s="22">
        <f>IF(종목정보!$A32="","",IFERROR($K34/보유현황!$D$3,0))</f>
        <v/>
      </c>
      <c r="O34" s="15">
        <f>IF(종목정보!$A32="","",IFERROR(SUMIFS(거래입력!$P$4:$P$253,거래입력!$C$4:$C$253,$A34)*$I34,0))</f>
        <v/>
      </c>
      <c r="P34" s="23">
        <f>IF(종목정보!$A32="","",IF($I34="","설정 시트에 환율을 넣으세요",IF($F34=0,"보유 없음",IF($H34="","시세 없음 - 매입가로 계산",""))))</f>
        <v/>
      </c>
    </row>
    <row r="35">
      <c r="A35" s="19">
        <f>IF(종목정보!$A33="","",IF(종목정보!$A33="","",종목정보!$A33))</f>
        <v/>
      </c>
      <c r="B35" s="19">
        <f>IF(종목정보!$A33="","",IF(종목정보!$B33="","",종목정보!$B33))</f>
        <v/>
      </c>
      <c r="C35" s="19">
        <f>IF(종목정보!$A33="","",IF(종목정보!$C33="","",종목정보!$C33))</f>
        <v/>
      </c>
      <c r="D35" s="19">
        <f>IF(종목정보!$A33="","",IF(종목정보!$E33="","",종목정보!$E33))</f>
        <v/>
      </c>
      <c r="E35" s="19">
        <f>IF(종목정보!$A33="","",IF(종목정보!$D33="","",종목정보!$D33))</f>
        <v/>
      </c>
      <c r="F35" s="14">
        <f>IF(종목정보!$A33="","",IFERROR(LOOKUP(2,1/(거래입력!$C$4:$C$253=$A35),거래입력!$L$4:$L$253),0))</f>
        <v/>
      </c>
      <c r="G35" s="14">
        <f>IF(종목정보!$A33="","",IFERROR(LOOKUP(2,1/(거래입력!$C$4:$C$253=$A35),거래입력!$O$4:$O$253),0))</f>
        <v/>
      </c>
      <c r="H35" s="20">
        <f>IF(종목정보!$A33="","",IF(종목정보!$F33="","",종목정보!$F33))</f>
        <v/>
      </c>
      <c r="I35" s="21">
        <f>IF(종목정보!$A33="","",IFERROR(INDEX(설정!$B$8:$B$15,MATCH($E35,설정!$A$8:$A$15,0)),""))</f>
        <v/>
      </c>
      <c r="J35" s="15">
        <f>IF(종목정보!$A33="","",IFERROR($F35*$G35*$I35,0))</f>
        <v/>
      </c>
      <c r="K35" s="15">
        <f>IF(종목정보!$A33="","",IFERROR(IF($H35="",$J35,$F35*$H35*$I35),0))</f>
        <v/>
      </c>
      <c r="L35" s="15">
        <f>IF(종목정보!$A33="","",IF($H35="","",$K35-$J35))</f>
        <v/>
      </c>
      <c r="M35" s="22">
        <f>IF(종목정보!$A33="","",IFERROR($L35/$J35,""))</f>
        <v/>
      </c>
      <c r="N35" s="22">
        <f>IF(종목정보!$A33="","",IFERROR($K35/보유현황!$D$3,0))</f>
        <v/>
      </c>
      <c r="O35" s="15">
        <f>IF(종목정보!$A33="","",IFERROR(SUMIFS(거래입력!$P$4:$P$253,거래입력!$C$4:$C$253,$A35)*$I35,0))</f>
        <v/>
      </c>
      <c r="P35" s="23">
        <f>IF(종목정보!$A33="","",IF($I35="","설정 시트에 환율을 넣으세요",IF($F35=0,"보유 없음",IF($H35="","시세 없음 - 매입가로 계산",""))))</f>
        <v/>
      </c>
    </row>
    <row r="36">
      <c r="A36" s="19">
        <f>IF(종목정보!$A34="","",IF(종목정보!$A34="","",종목정보!$A34))</f>
        <v/>
      </c>
      <c r="B36" s="19">
        <f>IF(종목정보!$A34="","",IF(종목정보!$B34="","",종목정보!$B34))</f>
        <v/>
      </c>
      <c r="C36" s="19">
        <f>IF(종목정보!$A34="","",IF(종목정보!$C34="","",종목정보!$C34))</f>
        <v/>
      </c>
      <c r="D36" s="19">
        <f>IF(종목정보!$A34="","",IF(종목정보!$E34="","",종목정보!$E34))</f>
        <v/>
      </c>
      <c r="E36" s="19">
        <f>IF(종목정보!$A34="","",IF(종목정보!$D34="","",종목정보!$D34))</f>
        <v/>
      </c>
      <c r="F36" s="14">
        <f>IF(종목정보!$A34="","",IFERROR(LOOKUP(2,1/(거래입력!$C$4:$C$253=$A36),거래입력!$L$4:$L$253),0))</f>
        <v/>
      </c>
      <c r="G36" s="14">
        <f>IF(종목정보!$A34="","",IFERROR(LOOKUP(2,1/(거래입력!$C$4:$C$253=$A36),거래입력!$O$4:$O$253),0))</f>
        <v/>
      </c>
      <c r="H36" s="20">
        <f>IF(종목정보!$A34="","",IF(종목정보!$F34="","",종목정보!$F34))</f>
        <v/>
      </c>
      <c r="I36" s="21">
        <f>IF(종목정보!$A34="","",IFERROR(INDEX(설정!$B$8:$B$15,MATCH($E36,설정!$A$8:$A$15,0)),""))</f>
        <v/>
      </c>
      <c r="J36" s="15">
        <f>IF(종목정보!$A34="","",IFERROR($F36*$G36*$I36,0))</f>
        <v/>
      </c>
      <c r="K36" s="15">
        <f>IF(종목정보!$A34="","",IFERROR(IF($H36="",$J36,$F36*$H36*$I36),0))</f>
        <v/>
      </c>
      <c r="L36" s="15">
        <f>IF(종목정보!$A34="","",IF($H36="","",$K36-$J36))</f>
        <v/>
      </c>
      <c r="M36" s="22">
        <f>IF(종목정보!$A34="","",IFERROR($L36/$J36,""))</f>
        <v/>
      </c>
      <c r="N36" s="22">
        <f>IF(종목정보!$A34="","",IFERROR($K36/보유현황!$D$3,0))</f>
        <v/>
      </c>
      <c r="O36" s="15">
        <f>IF(종목정보!$A34="","",IFERROR(SUMIFS(거래입력!$P$4:$P$253,거래입력!$C$4:$C$253,$A36)*$I36,0))</f>
        <v/>
      </c>
      <c r="P36" s="23">
        <f>IF(종목정보!$A34="","",IF($I36="","설정 시트에 환율을 넣으세요",IF($F36=0,"보유 없음",IF($H36="","시세 없음 - 매입가로 계산",""))))</f>
        <v/>
      </c>
    </row>
    <row r="37">
      <c r="A37" s="19">
        <f>IF(종목정보!$A35="","",IF(종목정보!$A35="","",종목정보!$A35))</f>
        <v/>
      </c>
      <c r="B37" s="19">
        <f>IF(종목정보!$A35="","",IF(종목정보!$B35="","",종목정보!$B35))</f>
        <v/>
      </c>
      <c r="C37" s="19">
        <f>IF(종목정보!$A35="","",IF(종목정보!$C35="","",종목정보!$C35))</f>
        <v/>
      </c>
      <c r="D37" s="19">
        <f>IF(종목정보!$A35="","",IF(종목정보!$E35="","",종목정보!$E35))</f>
        <v/>
      </c>
      <c r="E37" s="19">
        <f>IF(종목정보!$A35="","",IF(종목정보!$D35="","",종목정보!$D35))</f>
        <v/>
      </c>
      <c r="F37" s="14">
        <f>IF(종목정보!$A35="","",IFERROR(LOOKUP(2,1/(거래입력!$C$4:$C$253=$A37),거래입력!$L$4:$L$253),0))</f>
        <v/>
      </c>
      <c r="G37" s="14">
        <f>IF(종목정보!$A35="","",IFERROR(LOOKUP(2,1/(거래입력!$C$4:$C$253=$A37),거래입력!$O$4:$O$253),0))</f>
        <v/>
      </c>
      <c r="H37" s="20">
        <f>IF(종목정보!$A35="","",IF(종목정보!$F35="","",종목정보!$F35))</f>
        <v/>
      </c>
      <c r="I37" s="21">
        <f>IF(종목정보!$A35="","",IFERROR(INDEX(설정!$B$8:$B$15,MATCH($E37,설정!$A$8:$A$15,0)),""))</f>
        <v/>
      </c>
      <c r="J37" s="15">
        <f>IF(종목정보!$A35="","",IFERROR($F37*$G37*$I37,0))</f>
        <v/>
      </c>
      <c r="K37" s="15">
        <f>IF(종목정보!$A35="","",IFERROR(IF($H37="",$J37,$F37*$H37*$I37),0))</f>
        <v/>
      </c>
      <c r="L37" s="15">
        <f>IF(종목정보!$A35="","",IF($H37="","",$K37-$J37))</f>
        <v/>
      </c>
      <c r="M37" s="22">
        <f>IF(종목정보!$A35="","",IFERROR($L37/$J37,""))</f>
        <v/>
      </c>
      <c r="N37" s="22">
        <f>IF(종목정보!$A35="","",IFERROR($K37/보유현황!$D$3,0))</f>
        <v/>
      </c>
      <c r="O37" s="15">
        <f>IF(종목정보!$A35="","",IFERROR(SUMIFS(거래입력!$P$4:$P$253,거래입력!$C$4:$C$253,$A37)*$I37,0))</f>
        <v/>
      </c>
      <c r="P37" s="23">
        <f>IF(종목정보!$A35="","",IF($I37="","설정 시트에 환율을 넣으세요",IF($F37=0,"보유 없음",IF($H37="","시세 없음 - 매입가로 계산",""))))</f>
        <v/>
      </c>
    </row>
    <row r="38">
      <c r="A38" s="19">
        <f>IF(종목정보!$A36="","",IF(종목정보!$A36="","",종목정보!$A36))</f>
        <v/>
      </c>
      <c r="B38" s="19">
        <f>IF(종목정보!$A36="","",IF(종목정보!$B36="","",종목정보!$B36))</f>
        <v/>
      </c>
      <c r="C38" s="19">
        <f>IF(종목정보!$A36="","",IF(종목정보!$C36="","",종목정보!$C36))</f>
        <v/>
      </c>
      <c r="D38" s="19">
        <f>IF(종목정보!$A36="","",IF(종목정보!$E36="","",종목정보!$E36))</f>
        <v/>
      </c>
      <c r="E38" s="19">
        <f>IF(종목정보!$A36="","",IF(종목정보!$D36="","",종목정보!$D36))</f>
        <v/>
      </c>
      <c r="F38" s="14">
        <f>IF(종목정보!$A36="","",IFERROR(LOOKUP(2,1/(거래입력!$C$4:$C$253=$A38),거래입력!$L$4:$L$253),0))</f>
        <v/>
      </c>
      <c r="G38" s="14">
        <f>IF(종목정보!$A36="","",IFERROR(LOOKUP(2,1/(거래입력!$C$4:$C$253=$A38),거래입력!$O$4:$O$253),0))</f>
        <v/>
      </c>
      <c r="H38" s="20">
        <f>IF(종목정보!$A36="","",IF(종목정보!$F36="","",종목정보!$F36))</f>
        <v/>
      </c>
      <c r="I38" s="21">
        <f>IF(종목정보!$A36="","",IFERROR(INDEX(설정!$B$8:$B$15,MATCH($E38,설정!$A$8:$A$15,0)),""))</f>
        <v/>
      </c>
      <c r="J38" s="15">
        <f>IF(종목정보!$A36="","",IFERROR($F38*$G38*$I38,0))</f>
        <v/>
      </c>
      <c r="K38" s="15">
        <f>IF(종목정보!$A36="","",IFERROR(IF($H38="",$J38,$F38*$H38*$I38),0))</f>
        <v/>
      </c>
      <c r="L38" s="15">
        <f>IF(종목정보!$A36="","",IF($H38="","",$K38-$J38))</f>
        <v/>
      </c>
      <c r="M38" s="22">
        <f>IF(종목정보!$A36="","",IFERROR($L38/$J38,""))</f>
        <v/>
      </c>
      <c r="N38" s="22">
        <f>IF(종목정보!$A36="","",IFERROR($K38/보유현황!$D$3,0))</f>
        <v/>
      </c>
      <c r="O38" s="15">
        <f>IF(종목정보!$A36="","",IFERROR(SUMIFS(거래입력!$P$4:$P$253,거래입력!$C$4:$C$253,$A38)*$I38,0))</f>
        <v/>
      </c>
      <c r="P38" s="23">
        <f>IF(종목정보!$A36="","",IF($I38="","설정 시트에 환율을 넣으세요",IF($F38=0,"보유 없음",IF($H38="","시세 없음 - 매입가로 계산",""))))</f>
        <v/>
      </c>
    </row>
    <row r="39">
      <c r="A39" s="19">
        <f>IF(종목정보!$A37="","",IF(종목정보!$A37="","",종목정보!$A37))</f>
        <v/>
      </c>
      <c r="B39" s="19">
        <f>IF(종목정보!$A37="","",IF(종목정보!$B37="","",종목정보!$B37))</f>
        <v/>
      </c>
      <c r="C39" s="19">
        <f>IF(종목정보!$A37="","",IF(종목정보!$C37="","",종목정보!$C37))</f>
        <v/>
      </c>
      <c r="D39" s="19">
        <f>IF(종목정보!$A37="","",IF(종목정보!$E37="","",종목정보!$E37))</f>
        <v/>
      </c>
      <c r="E39" s="19">
        <f>IF(종목정보!$A37="","",IF(종목정보!$D37="","",종목정보!$D37))</f>
        <v/>
      </c>
      <c r="F39" s="14">
        <f>IF(종목정보!$A37="","",IFERROR(LOOKUP(2,1/(거래입력!$C$4:$C$253=$A39),거래입력!$L$4:$L$253),0))</f>
        <v/>
      </c>
      <c r="G39" s="14">
        <f>IF(종목정보!$A37="","",IFERROR(LOOKUP(2,1/(거래입력!$C$4:$C$253=$A39),거래입력!$O$4:$O$253),0))</f>
        <v/>
      </c>
      <c r="H39" s="20">
        <f>IF(종목정보!$A37="","",IF(종목정보!$F37="","",종목정보!$F37))</f>
        <v/>
      </c>
      <c r="I39" s="21">
        <f>IF(종목정보!$A37="","",IFERROR(INDEX(설정!$B$8:$B$15,MATCH($E39,설정!$A$8:$A$15,0)),""))</f>
        <v/>
      </c>
      <c r="J39" s="15">
        <f>IF(종목정보!$A37="","",IFERROR($F39*$G39*$I39,0))</f>
        <v/>
      </c>
      <c r="K39" s="15">
        <f>IF(종목정보!$A37="","",IFERROR(IF($H39="",$J39,$F39*$H39*$I39),0))</f>
        <v/>
      </c>
      <c r="L39" s="15">
        <f>IF(종목정보!$A37="","",IF($H39="","",$K39-$J39))</f>
        <v/>
      </c>
      <c r="M39" s="22">
        <f>IF(종목정보!$A37="","",IFERROR($L39/$J39,""))</f>
        <v/>
      </c>
      <c r="N39" s="22">
        <f>IF(종목정보!$A37="","",IFERROR($K39/보유현황!$D$3,0))</f>
        <v/>
      </c>
      <c r="O39" s="15">
        <f>IF(종목정보!$A37="","",IFERROR(SUMIFS(거래입력!$P$4:$P$253,거래입력!$C$4:$C$253,$A39)*$I39,0))</f>
        <v/>
      </c>
      <c r="P39" s="23">
        <f>IF(종목정보!$A37="","",IF($I39="","설정 시트에 환율을 넣으세요",IF($F39=0,"보유 없음",IF($H39="","시세 없음 - 매입가로 계산",""))))</f>
        <v/>
      </c>
    </row>
    <row r="40">
      <c r="A40" s="19">
        <f>IF(종목정보!$A38="","",IF(종목정보!$A38="","",종목정보!$A38))</f>
        <v/>
      </c>
      <c r="B40" s="19">
        <f>IF(종목정보!$A38="","",IF(종목정보!$B38="","",종목정보!$B38))</f>
        <v/>
      </c>
      <c r="C40" s="19">
        <f>IF(종목정보!$A38="","",IF(종목정보!$C38="","",종목정보!$C38))</f>
        <v/>
      </c>
      <c r="D40" s="19">
        <f>IF(종목정보!$A38="","",IF(종목정보!$E38="","",종목정보!$E38))</f>
        <v/>
      </c>
      <c r="E40" s="19">
        <f>IF(종목정보!$A38="","",IF(종목정보!$D38="","",종목정보!$D38))</f>
        <v/>
      </c>
      <c r="F40" s="14">
        <f>IF(종목정보!$A38="","",IFERROR(LOOKUP(2,1/(거래입력!$C$4:$C$253=$A40),거래입력!$L$4:$L$253),0))</f>
        <v/>
      </c>
      <c r="G40" s="14">
        <f>IF(종목정보!$A38="","",IFERROR(LOOKUP(2,1/(거래입력!$C$4:$C$253=$A40),거래입력!$O$4:$O$253),0))</f>
        <v/>
      </c>
      <c r="H40" s="20">
        <f>IF(종목정보!$A38="","",IF(종목정보!$F38="","",종목정보!$F38))</f>
        <v/>
      </c>
      <c r="I40" s="21">
        <f>IF(종목정보!$A38="","",IFERROR(INDEX(설정!$B$8:$B$15,MATCH($E40,설정!$A$8:$A$15,0)),""))</f>
        <v/>
      </c>
      <c r="J40" s="15">
        <f>IF(종목정보!$A38="","",IFERROR($F40*$G40*$I40,0))</f>
        <v/>
      </c>
      <c r="K40" s="15">
        <f>IF(종목정보!$A38="","",IFERROR(IF($H40="",$J40,$F40*$H40*$I40),0))</f>
        <v/>
      </c>
      <c r="L40" s="15">
        <f>IF(종목정보!$A38="","",IF($H40="","",$K40-$J40))</f>
        <v/>
      </c>
      <c r="M40" s="22">
        <f>IF(종목정보!$A38="","",IFERROR($L40/$J40,""))</f>
        <v/>
      </c>
      <c r="N40" s="22">
        <f>IF(종목정보!$A38="","",IFERROR($K40/보유현황!$D$3,0))</f>
        <v/>
      </c>
      <c r="O40" s="15">
        <f>IF(종목정보!$A38="","",IFERROR(SUMIFS(거래입력!$P$4:$P$253,거래입력!$C$4:$C$253,$A40)*$I40,0))</f>
        <v/>
      </c>
      <c r="P40" s="23">
        <f>IF(종목정보!$A38="","",IF($I40="","설정 시트에 환율을 넣으세요",IF($F40=0,"보유 없음",IF($H40="","시세 없음 - 매입가로 계산",""))))</f>
        <v/>
      </c>
    </row>
    <row r="41">
      <c r="A41" s="19">
        <f>IF(종목정보!$A39="","",IF(종목정보!$A39="","",종목정보!$A39))</f>
        <v/>
      </c>
      <c r="B41" s="19">
        <f>IF(종목정보!$A39="","",IF(종목정보!$B39="","",종목정보!$B39))</f>
        <v/>
      </c>
      <c r="C41" s="19">
        <f>IF(종목정보!$A39="","",IF(종목정보!$C39="","",종목정보!$C39))</f>
        <v/>
      </c>
      <c r="D41" s="19">
        <f>IF(종목정보!$A39="","",IF(종목정보!$E39="","",종목정보!$E39))</f>
        <v/>
      </c>
      <c r="E41" s="19">
        <f>IF(종목정보!$A39="","",IF(종목정보!$D39="","",종목정보!$D39))</f>
        <v/>
      </c>
      <c r="F41" s="14">
        <f>IF(종목정보!$A39="","",IFERROR(LOOKUP(2,1/(거래입력!$C$4:$C$253=$A41),거래입력!$L$4:$L$253),0))</f>
        <v/>
      </c>
      <c r="G41" s="14">
        <f>IF(종목정보!$A39="","",IFERROR(LOOKUP(2,1/(거래입력!$C$4:$C$253=$A41),거래입력!$O$4:$O$253),0))</f>
        <v/>
      </c>
      <c r="H41" s="20">
        <f>IF(종목정보!$A39="","",IF(종목정보!$F39="","",종목정보!$F39))</f>
        <v/>
      </c>
      <c r="I41" s="21">
        <f>IF(종목정보!$A39="","",IFERROR(INDEX(설정!$B$8:$B$15,MATCH($E41,설정!$A$8:$A$15,0)),""))</f>
        <v/>
      </c>
      <c r="J41" s="15">
        <f>IF(종목정보!$A39="","",IFERROR($F41*$G41*$I41,0))</f>
        <v/>
      </c>
      <c r="K41" s="15">
        <f>IF(종목정보!$A39="","",IFERROR(IF($H41="",$J41,$F41*$H41*$I41),0))</f>
        <v/>
      </c>
      <c r="L41" s="15">
        <f>IF(종목정보!$A39="","",IF($H41="","",$K41-$J41))</f>
        <v/>
      </c>
      <c r="M41" s="22">
        <f>IF(종목정보!$A39="","",IFERROR($L41/$J41,""))</f>
        <v/>
      </c>
      <c r="N41" s="22">
        <f>IF(종목정보!$A39="","",IFERROR($K41/보유현황!$D$3,0))</f>
        <v/>
      </c>
      <c r="O41" s="15">
        <f>IF(종목정보!$A39="","",IFERROR(SUMIFS(거래입력!$P$4:$P$253,거래입력!$C$4:$C$253,$A41)*$I41,0))</f>
        <v/>
      </c>
      <c r="P41" s="23">
        <f>IF(종목정보!$A39="","",IF($I41="","설정 시트에 환율을 넣으세요",IF($F41=0,"보유 없음",IF($H41="","시세 없음 - 매입가로 계산",""))))</f>
        <v/>
      </c>
    </row>
    <row r="42">
      <c r="A42" s="19">
        <f>IF(종목정보!$A40="","",IF(종목정보!$A40="","",종목정보!$A40))</f>
        <v/>
      </c>
      <c r="B42" s="19">
        <f>IF(종목정보!$A40="","",IF(종목정보!$B40="","",종목정보!$B40))</f>
        <v/>
      </c>
      <c r="C42" s="19">
        <f>IF(종목정보!$A40="","",IF(종목정보!$C40="","",종목정보!$C40))</f>
        <v/>
      </c>
      <c r="D42" s="19">
        <f>IF(종목정보!$A40="","",IF(종목정보!$E40="","",종목정보!$E40))</f>
        <v/>
      </c>
      <c r="E42" s="19">
        <f>IF(종목정보!$A40="","",IF(종목정보!$D40="","",종목정보!$D40))</f>
        <v/>
      </c>
      <c r="F42" s="14">
        <f>IF(종목정보!$A40="","",IFERROR(LOOKUP(2,1/(거래입력!$C$4:$C$253=$A42),거래입력!$L$4:$L$253),0))</f>
        <v/>
      </c>
      <c r="G42" s="14">
        <f>IF(종목정보!$A40="","",IFERROR(LOOKUP(2,1/(거래입력!$C$4:$C$253=$A42),거래입력!$O$4:$O$253),0))</f>
        <v/>
      </c>
      <c r="H42" s="20">
        <f>IF(종목정보!$A40="","",IF(종목정보!$F40="","",종목정보!$F40))</f>
        <v/>
      </c>
      <c r="I42" s="21">
        <f>IF(종목정보!$A40="","",IFERROR(INDEX(설정!$B$8:$B$15,MATCH($E42,설정!$A$8:$A$15,0)),""))</f>
        <v/>
      </c>
      <c r="J42" s="15">
        <f>IF(종목정보!$A40="","",IFERROR($F42*$G42*$I42,0))</f>
        <v/>
      </c>
      <c r="K42" s="15">
        <f>IF(종목정보!$A40="","",IFERROR(IF($H42="",$J42,$F42*$H42*$I42),0))</f>
        <v/>
      </c>
      <c r="L42" s="15">
        <f>IF(종목정보!$A40="","",IF($H42="","",$K42-$J42))</f>
        <v/>
      </c>
      <c r="M42" s="22">
        <f>IF(종목정보!$A40="","",IFERROR($L42/$J42,""))</f>
        <v/>
      </c>
      <c r="N42" s="22">
        <f>IF(종목정보!$A40="","",IFERROR($K42/보유현황!$D$3,0))</f>
        <v/>
      </c>
      <c r="O42" s="15">
        <f>IF(종목정보!$A40="","",IFERROR(SUMIFS(거래입력!$P$4:$P$253,거래입력!$C$4:$C$253,$A42)*$I42,0))</f>
        <v/>
      </c>
      <c r="P42" s="23">
        <f>IF(종목정보!$A40="","",IF($I42="","설정 시트에 환율을 넣으세요",IF($F42=0,"보유 없음",IF($H42="","시세 없음 - 매입가로 계산",""))))</f>
        <v/>
      </c>
    </row>
    <row r="43">
      <c r="A43" s="19">
        <f>IF(종목정보!$A41="","",IF(종목정보!$A41="","",종목정보!$A41))</f>
        <v/>
      </c>
      <c r="B43" s="19">
        <f>IF(종목정보!$A41="","",IF(종목정보!$B41="","",종목정보!$B41))</f>
        <v/>
      </c>
      <c r="C43" s="19">
        <f>IF(종목정보!$A41="","",IF(종목정보!$C41="","",종목정보!$C41))</f>
        <v/>
      </c>
      <c r="D43" s="19">
        <f>IF(종목정보!$A41="","",IF(종목정보!$E41="","",종목정보!$E41))</f>
        <v/>
      </c>
      <c r="E43" s="19">
        <f>IF(종목정보!$A41="","",IF(종목정보!$D41="","",종목정보!$D41))</f>
        <v/>
      </c>
      <c r="F43" s="14">
        <f>IF(종목정보!$A41="","",IFERROR(LOOKUP(2,1/(거래입력!$C$4:$C$253=$A43),거래입력!$L$4:$L$253),0))</f>
        <v/>
      </c>
      <c r="G43" s="14">
        <f>IF(종목정보!$A41="","",IFERROR(LOOKUP(2,1/(거래입력!$C$4:$C$253=$A43),거래입력!$O$4:$O$253),0))</f>
        <v/>
      </c>
      <c r="H43" s="20">
        <f>IF(종목정보!$A41="","",IF(종목정보!$F41="","",종목정보!$F41))</f>
        <v/>
      </c>
      <c r="I43" s="21">
        <f>IF(종목정보!$A41="","",IFERROR(INDEX(설정!$B$8:$B$15,MATCH($E43,설정!$A$8:$A$15,0)),""))</f>
        <v/>
      </c>
      <c r="J43" s="15">
        <f>IF(종목정보!$A41="","",IFERROR($F43*$G43*$I43,0))</f>
        <v/>
      </c>
      <c r="K43" s="15">
        <f>IF(종목정보!$A41="","",IFERROR(IF($H43="",$J43,$F43*$H43*$I43),0))</f>
        <v/>
      </c>
      <c r="L43" s="15">
        <f>IF(종목정보!$A41="","",IF($H43="","",$K43-$J43))</f>
        <v/>
      </c>
      <c r="M43" s="22">
        <f>IF(종목정보!$A41="","",IFERROR($L43/$J43,""))</f>
        <v/>
      </c>
      <c r="N43" s="22">
        <f>IF(종목정보!$A41="","",IFERROR($K43/보유현황!$D$3,0))</f>
        <v/>
      </c>
      <c r="O43" s="15">
        <f>IF(종목정보!$A41="","",IFERROR(SUMIFS(거래입력!$P$4:$P$253,거래입력!$C$4:$C$253,$A43)*$I43,0))</f>
        <v/>
      </c>
      <c r="P43" s="23">
        <f>IF(종목정보!$A41="","",IF($I43="","설정 시트에 환율을 넣으세요",IF($F43=0,"보유 없음",IF($H43="","시세 없음 - 매입가로 계산",""))))</f>
        <v/>
      </c>
    </row>
    <row r="44">
      <c r="A44" s="19">
        <f>IF(종목정보!$A42="","",IF(종목정보!$A42="","",종목정보!$A42))</f>
        <v/>
      </c>
      <c r="B44" s="19">
        <f>IF(종목정보!$A42="","",IF(종목정보!$B42="","",종목정보!$B42))</f>
        <v/>
      </c>
      <c r="C44" s="19">
        <f>IF(종목정보!$A42="","",IF(종목정보!$C42="","",종목정보!$C42))</f>
        <v/>
      </c>
      <c r="D44" s="19">
        <f>IF(종목정보!$A42="","",IF(종목정보!$E42="","",종목정보!$E42))</f>
        <v/>
      </c>
      <c r="E44" s="19">
        <f>IF(종목정보!$A42="","",IF(종목정보!$D42="","",종목정보!$D42))</f>
        <v/>
      </c>
      <c r="F44" s="14">
        <f>IF(종목정보!$A42="","",IFERROR(LOOKUP(2,1/(거래입력!$C$4:$C$253=$A44),거래입력!$L$4:$L$253),0))</f>
        <v/>
      </c>
      <c r="G44" s="14">
        <f>IF(종목정보!$A42="","",IFERROR(LOOKUP(2,1/(거래입력!$C$4:$C$253=$A44),거래입력!$O$4:$O$253),0))</f>
        <v/>
      </c>
      <c r="H44" s="20">
        <f>IF(종목정보!$A42="","",IF(종목정보!$F42="","",종목정보!$F42))</f>
        <v/>
      </c>
      <c r="I44" s="21">
        <f>IF(종목정보!$A42="","",IFERROR(INDEX(설정!$B$8:$B$15,MATCH($E44,설정!$A$8:$A$15,0)),""))</f>
        <v/>
      </c>
      <c r="J44" s="15">
        <f>IF(종목정보!$A42="","",IFERROR($F44*$G44*$I44,0))</f>
        <v/>
      </c>
      <c r="K44" s="15">
        <f>IF(종목정보!$A42="","",IFERROR(IF($H44="",$J44,$F44*$H44*$I44),0))</f>
        <v/>
      </c>
      <c r="L44" s="15">
        <f>IF(종목정보!$A42="","",IF($H44="","",$K44-$J44))</f>
        <v/>
      </c>
      <c r="M44" s="22">
        <f>IF(종목정보!$A42="","",IFERROR($L44/$J44,""))</f>
        <v/>
      </c>
      <c r="N44" s="22">
        <f>IF(종목정보!$A42="","",IFERROR($K44/보유현황!$D$3,0))</f>
        <v/>
      </c>
      <c r="O44" s="15">
        <f>IF(종목정보!$A42="","",IFERROR(SUMIFS(거래입력!$P$4:$P$253,거래입력!$C$4:$C$253,$A44)*$I44,0))</f>
        <v/>
      </c>
      <c r="P44" s="23">
        <f>IF(종목정보!$A42="","",IF($I44="","설정 시트에 환율을 넣으세요",IF($F44=0,"보유 없음",IF($H44="","시세 없음 - 매입가로 계산",""))))</f>
        <v/>
      </c>
    </row>
    <row r="45">
      <c r="A45" s="19">
        <f>IF(종목정보!$A43="","",IF(종목정보!$A43="","",종목정보!$A43))</f>
        <v/>
      </c>
      <c r="B45" s="19">
        <f>IF(종목정보!$A43="","",IF(종목정보!$B43="","",종목정보!$B43))</f>
        <v/>
      </c>
      <c r="C45" s="19">
        <f>IF(종목정보!$A43="","",IF(종목정보!$C43="","",종목정보!$C43))</f>
        <v/>
      </c>
      <c r="D45" s="19">
        <f>IF(종목정보!$A43="","",IF(종목정보!$E43="","",종목정보!$E43))</f>
        <v/>
      </c>
      <c r="E45" s="19">
        <f>IF(종목정보!$A43="","",IF(종목정보!$D43="","",종목정보!$D43))</f>
        <v/>
      </c>
      <c r="F45" s="14">
        <f>IF(종목정보!$A43="","",IFERROR(LOOKUP(2,1/(거래입력!$C$4:$C$253=$A45),거래입력!$L$4:$L$253),0))</f>
        <v/>
      </c>
      <c r="G45" s="14">
        <f>IF(종목정보!$A43="","",IFERROR(LOOKUP(2,1/(거래입력!$C$4:$C$253=$A45),거래입력!$O$4:$O$253),0))</f>
        <v/>
      </c>
      <c r="H45" s="20">
        <f>IF(종목정보!$A43="","",IF(종목정보!$F43="","",종목정보!$F43))</f>
        <v/>
      </c>
      <c r="I45" s="21">
        <f>IF(종목정보!$A43="","",IFERROR(INDEX(설정!$B$8:$B$15,MATCH($E45,설정!$A$8:$A$15,0)),""))</f>
        <v/>
      </c>
      <c r="J45" s="15">
        <f>IF(종목정보!$A43="","",IFERROR($F45*$G45*$I45,0))</f>
        <v/>
      </c>
      <c r="K45" s="15">
        <f>IF(종목정보!$A43="","",IFERROR(IF($H45="",$J45,$F45*$H45*$I45),0))</f>
        <v/>
      </c>
      <c r="L45" s="15">
        <f>IF(종목정보!$A43="","",IF($H45="","",$K45-$J45))</f>
        <v/>
      </c>
      <c r="M45" s="22">
        <f>IF(종목정보!$A43="","",IFERROR($L45/$J45,""))</f>
        <v/>
      </c>
      <c r="N45" s="22">
        <f>IF(종목정보!$A43="","",IFERROR($K45/보유현황!$D$3,0))</f>
        <v/>
      </c>
      <c r="O45" s="15">
        <f>IF(종목정보!$A43="","",IFERROR(SUMIFS(거래입력!$P$4:$P$253,거래입력!$C$4:$C$253,$A45)*$I45,0))</f>
        <v/>
      </c>
      <c r="P45" s="23">
        <f>IF(종목정보!$A43="","",IF($I45="","설정 시트에 환율을 넣으세요",IF($F45=0,"보유 없음",IF($H45="","시세 없음 - 매입가로 계산",""))))</f>
        <v/>
      </c>
    </row>
    <row r="46">
      <c r="A46" s="19">
        <f>IF(종목정보!$A44="","",IF(종목정보!$A44="","",종목정보!$A44))</f>
        <v/>
      </c>
      <c r="B46" s="19">
        <f>IF(종목정보!$A44="","",IF(종목정보!$B44="","",종목정보!$B44))</f>
        <v/>
      </c>
      <c r="C46" s="19">
        <f>IF(종목정보!$A44="","",IF(종목정보!$C44="","",종목정보!$C44))</f>
        <v/>
      </c>
      <c r="D46" s="19">
        <f>IF(종목정보!$A44="","",IF(종목정보!$E44="","",종목정보!$E44))</f>
        <v/>
      </c>
      <c r="E46" s="19">
        <f>IF(종목정보!$A44="","",IF(종목정보!$D44="","",종목정보!$D44))</f>
        <v/>
      </c>
      <c r="F46" s="14">
        <f>IF(종목정보!$A44="","",IFERROR(LOOKUP(2,1/(거래입력!$C$4:$C$253=$A46),거래입력!$L$4:$L$253),0))</f>
        <v/>
      </c>
      <c r="G46" s="14">
        <f>IF(종목정보!$A44="","",IFERROR(LOOKUP(2,1/(거래입력!$C$4:$C$253=$A46),거래입력!$O$4:$O$253),0))</f>
        <v/>
      </c>
      <c r="H46" s="20">
        <f>IF(종목정보!$A44="","",IF(종목정보!$F44="","",종목정보!$F44))</f>
        <v/>
      </c>
      <c r="I46" s="21">
        <f>IF(종목정보!$A44="","",IFERROR(INDEX(설정!$B$8:$B$15,MATCH($E46,설정!$A$8:$A$15,0)),""))</f>
        <v/>
      </c>
      <c r="J46" s="15">
        <f>IF(종목정보!$A44="","",IFERROR($F46*$G46*$I46,0))</f>
        <v/>
      </c>
      <c r="K46" s="15">
        <f>IF(종목정보!$A44="","",IFERROR(IF($H46="",$J46,$F46*$H46*$I46),0))</f>
        <v/>
      </c>
      <c r="L46" s="15">
        <f>IF(종목정보!$A44="","",IF($H46="","",$K46-$J46))</f>
        <v/>
      </c>
      <c r="M46" s="22">
        <f>IF(종목정보!$A44="","",IFERROR($L46/$J46,""))</f>
        <v/>
      </c>
      <c r="N46" s="22">
        <f>IF(종목정보!$A44="","",IFERROR($K46/보유현황!$D$3,0))</f>
        <v/>
      </c>
      <c r="O46" s="15">
        <f>IF(종목정보!$A44="","",IFERROR(SUMIFS(거래입력!$P$4:$P$253,거래입력!$C$4:$C$253,$A46)*$I46,0))</f>
        <v/>
      </c>
      <c r="P46" s="23">
        <f>IF(종목정보!$A44="","",IF($I46="","설정 시트에 환율을 넣으세요",IF($F46=0,"보유 없음",IF($H46="","시세 없음 - 매입가로 계산",""))))</f>
        <v/>
      </c>
    </row>
    <row r="47">
      <c r="A47" s="19">
        <f>IF(종목정보!$A45="","",IF(종목정보!$A45="","",종목정보!$A45))</f>
        <v/>
      </c>
      <c r="B47" s="19">
        <f>IF(종목정보!$A45="","",IF(종목정보!$B45="","",종목정보!$B45))</f>
        <v/>
      </c>
      <c r="C47" s="19">
        <f>IF(종목정보!$A45="","",IF(종목정보!$C45="","",종목정보!$C45))</f>
        <v/>
      </c>
      <c r="D47" s="19">
        <f>IF(종목정보!$A45="","",IF(종목정보!$E45="","",종목정보!$E45))</f>
        <v/>
      </c>
      <c r="E47" s="19">
        <f>IF(종목정보!$A45="","",IF(종목정보!$D45="","",종목정보!$D45))</f>
        <v/>
      </c>
      <c r="F47" s="14">
        <f>IF(종목정보!$A45="","",IFERROR(LOOKUP(2,1/(거래입력!$C$4:$C$253=$A47),거래입력!$L$4:$L$253),0))</f>
        <v/>
      </c>
      <c r="G47" s="14">
        <f>IF(종목정보!$A45="","",IFERROR(LOOKUP(2,1/(거래입력!$C$4:$C$253=$A47),거래입력!$O$4:$O$253),0))</f>
        <v/>
      </c>
      <c r="H47" s="20">
        <f>IF(종목정보!$A45="","",IF(종목정보!$F45="","",종목정보!$F45))</f>
        <v/>
      </c>
      <c r="I47" s="21">
        <f>IF(종목정보!$A45="","",IFERROR(INDEX(설정!$B$8:$B$15,MATCH($E47,설정!$A$8:$A$15,0)),""))</f>
        <v/>
      </c>
      <c r="J47" s="15">
        <f>IF(종목정보!$A45="","",IFERROR($F47*$G47*$I47,0))</f>
        <v/>
      </c>
      <c r="K47" s="15">
        <f>IF(종목정보!$A45="","",IFERROR(IF($H47="",$J47,$F47*$H47*$I47),0))</f>
        <v/>
      </c>
      <c r="L47" s="15">
        <f>IF(종목정보!$A45="","",IF($H47="","",$K47-$J47))</f>
        <v/>
      </c>
      <c r="M47" s="22">
        <f>IF(종목정보!$A45="","",IFERROR($L47/$J47,""))</f>
        <v/>
      </c>
      <c r="N47" s="22">
        <f>IF(종목정보!$A45="","",IFERROR($K47/보유현황!$D$3,0))</f>
        <v/>
      </c>
      <c r="O47" s="15">
        <f>IF(종목정보!$A45="","",IFERROR(SUMIFS(거래입력!$P$4:$P$253,거래입력!$C$4:$C$253,$A47)*$I47,0))</f>
        <v/>
      </c>
      <c r="P47" s="23">
        <f>IF(종목정보!$A45="","",IF($I47="","설정 시트에 환율을 넣으세요",IF($F47=0,"보유 없음",IF($H47="","시세 없음 - 매입가로 계산",""))))</f>
        <v/>
      </c>
    </row>
    <row r="48">
      <c r="A48" s="19">
        <f>IF(종목정보!$A46="","",IF(종목정보!$A46="","",종목정보!$A46))</f>
        <v/>
      </c>
      <c r="B48" s="19">
        <f>IF(종목정보!$A46="","",IF(종목정보!$B46="","",종목정보!$B46))</f>
        <v/>
      </c>
      <c r="C48" s="19">
        <f>IF(종목정보!$A46="","",IF(종목정보!$C46="","",종목정보!$C46))</f>
        <v/>
      </c>
      <c r="D48" s="19">
        <f>IF(종목정보!$A46="","",IF(종목정보!$E46="","",종목정보!$E46))</f>
        <v/>
      </c>
      <c r="E48" s="19">
        <f>IF(종목정보!$A46="","",IF(종목정보!$D46="","",종목정보!$D46))</f>
        <v/>
      </c>
      <c r="F48" s="14">
        <f>IF(종목정보!$A46="","",IFERROR(LOOKUP(2,1/(거래입력!$C$4:$C$253=$A48),거래입력!$L$4:$L$253),0))</f>
        <v/>
      </c>
      <c r="G48" s="14">
        <f>IF(종목정보!$A46="","",IFERROR(LOOKUP(2,1/(거래입력!$C$4:$C$253=$A48),거래입력!$O$4:$O$253),0))</f>
        <v/>
      </c>
      <c r="H48" s="20">
        <f>IF(종목정보!$A46="","",IF(종목정보!$F46="","",종목정보!$F46))</f>
        <v/>
      </c>
      <c r="I48" s="21">
        <f>IF(종목정보!$A46="","",IFERROR(INDEX(설정!$B$8:$B$15,MATCH($E48,설정!$A$8:$A$15,0)),""))</f>
        <v/>
      </c>
      <c r="J48" s="15">
        <f>IF(종목정보!$A46="","",IFERROR($F48*$G48*$I48,0))</f>
        <v/>
      </c>
      <c r="K48" s="15">
        <f>IF(종목정보!$A46="","",IFERROR(IF($H48="",$J48,$F48*$H48*$I48),0))</f>
        <v/>
      </c>
      <c r="L48" s="15">
        <f>IF(종목정보!$A46="","",IF($H48="","",$K48-$J48))</f>
        <v/>
      </c>
      <c r="M48" s="22">
        <f>IF(종목정보!$A46="","",IFERROR($L48/$J48,""))</f>
        <v/>
      </c>
      <c r="N48" s="22">
        <f>IF(종목정보!$A46="","",IFERROR($K48/보유현황!$D$3,0))</f>
        <v/>
      </c>
      <c r="O48" s="15">
        <f>IF(종목정보!$A46="","",IFERROR(SUMIFS(거래입력!$P$4:$P$253,거래입력!$C$4:$C$253,$A48)*$I48,0))</f>
        <v/>
      </c>
      <c r="P48" s="23">
        <f>IF(종목정보!$A46="","",IF($I48="","설정 시트에 환율을 넣으세요",IF($F48=0,"보유 없음",IF($H48="","시세 없음 - 매입가로 계산",""))))</f>
        <v/>
      </c>
    </row>
    <row r="49">
      <c r="A49" s="19">
        <f>IF(종목정보!$A47="","",IF(종목정보!$A47="","",종목정보!$A47))</f>
        <v/>
      </c>
      <c r="B49" s="19">
        <f>IF(종목정보!$A47="","",IF(종목정보!$B47="","",종목정보!$B47))</f>
        <v/>
      </c>
      <c r="C49" s="19">
        <f>IF(종목정보!$A47="","",IF(종목정보!$C47="","",종목정보!$C47))</f>
        <v/>
      </c>
      <c r="D49" s="19">
        <f>IF(종목정보!$A47="","",IF(종목정보!$E47="","",종목정보!$E47))</f>
        <v/>
      </c>
      <c r="E49" s="19">
        <f>IF(종목정보!$A47="","",IF(종목정보!$D47="","",종목정보!$D47))</f>
        <v/>
      </c>
      <c r="F49" s="14">
        <f>IF(종목정보!$A47="","",IFERROR(LOOKUP(2,1/(거래입력!$C$4:$C$253=$A49),거래입력!$L$4:$L$253),0))</f>
        <v/>
      </c>
      <c r="G49" s="14">
        <f>IF(종목정보!$A47="","",IFERROR(LOOKUP(2,1/(거래입력!$C$4:$C$253=$A49),거래입력!$O$4:$O$253),0))</f>
        <v/>
      </c>
      <c r="H49" s="20">
        <f>IF(종목정보!$A47="","",IF(종목정보!$F47="","",종목정보!$F47))</f>
        <v/>
      </c>
      <c r="I49" s="21">
        <f>IF(종목정보!$A47="","",IFERROR(INDEX(설정!$B$8:$B$15,MATCH($E49,설정!$A$8:$A$15,0)),""))</f>
        <v/>
      </c>
      <c r="J49" s="15">
        <f>IF(종목정보!$A47="","",IFERROR($F49*$G49*$I49,0))</f>
        <v/>
      </c>
      <c r="K49" s="15">
        <f>IF(종목정보!$A47="","",IFERROR(IF($H49="",$J49,$F49*$H49*$I49),0))</f>
        <v/>
      </c>
      <c r="L49" s="15">
        <f>IF(종목정보!$A47="","",IF($H49="","",$K49-$J49))</f>
        <v/>
      </c>
      <c r="M49" s="22">
        <f>IF(종목정보!$A47="","",IFERROR($L49/$J49,""))</f>
        <v/>
      </c>
      <c r="N49" s="22">
        <f>IF(종목정보!$A47="","",IFERROR($K49/보유현황!$D$3,0))</f>
        <v/>
      </c>
      <c r="O49" s="15">
        <f>IF(종목정보!$A47="","",IFERROR(SUMIFS(거래입력!$P$4:$P$253,거래입력!$C$4:$C$253,$A49)*$I49,0))</f>
        <v/>
      </c>
      <c r="P49" s="23">
        <f>IF(종목정보!$A47="","",IF($I49="","설정 시트에 환율을 넣으세요",IF($F49=0,"보유 없음",IF($H49="","시세 없음 - 매입가로 계산",""))))</f>
        <v/>
      </c>
    </row>
    <row r="50">
      <c r="A50" s="19">
        <f>IF(종목정보!$A48="","",IF(종목정보!$A48="","",종목정보!$A48))</f>
        <v/>
      </c>
      <c r="B50" s="19">
        <f>IF(종목정보!$A48="","",IF(종목정보!$B48="","",종목정보!$B48))</f>
        <v/>
      </c>
      <c r="C50" s="19">
        <f>IF(종목정보!$A48="","",IF(종목정보!$C48="","",종목정보!$C48))</f>
        <v/>
      </c>
      <c r="D50" s="19">
        <f>IF(종목정보!$A48="","",IF(종목정보!$E48="","",종목정보!$E48))</f>
        <v/>
      </c>
      <c r="E50" s="19">
        <f>IF(종목정보!$A48="","",IF(종목정보!$D48="","",종목정보!$D48))</f>
        <v/>
      </c>
      <c r="F50" s="14">
        <f>IF(종목정보!$A48="","",IFERROR(LOOKUP(2,1/(거래입력!$C$4:$C$253=$A50),거래입력!$L$4:$L$253),0))</f>
        <v/>
      </c>
      <c r="G50" s="14">
        <f>IF(종목정보!$A48="","",IFERROR(LOOKUP(2,1/(거래입력!$C$4:$C$253=$A50),거래입력!$O$4:$O$253),0))</f>
        <v/>
      </c>
      <c r="H50" s="20">
        <f>IF(종목정보!$A48="","",IF(종목정보!$F48="","",종목정보!$F48))</f>
        <v/>
      </c>
      <c r="I50" s="21">
        <f>IF(종목정보!$A48="","",IFERROR(INDEX(설정!$B$8:$B$15,MATCH($E50,설정!$A$8:$A$15,0)),""))</f>
        <v/>
      </c>
      <c r="J50" s="15">
        <f>IF(종목정보!$A48="","",IFERROR($F50*$G50*$I50,0))</f>
        <v/>
      </c>
      <c r="K50" s="15">
        <f>IF(종목정보!$A48="","",IFERROR(IF($H50="",$J50,$F50*$H50*$I50),0))</f>
        <v/>
      </c>
      <c r="L50" s="15">
        <f>IF(종목정보!$A48="","",IF($H50="","",$K50-$J50))</f>
        <v/>
      </c>
      <c r="M50" s="22">
        <f>IF(종목정보!$A48="","",IFERROR($L50/$J50,""))</f>
        <v/>
      </c>
      <c r="N50" s="22">
        <f>IF(종목정보!$A48="","",IFERROR($K50/보유현황!$D$3,0))</f>
        <v/>
      </c>
      <c r="O50" s="15">
        <f>IF(종목정보!$A48="","",IFERROR(SUMIFS(거래입력!$P$4:$P$253,거래입력!$C$4:$C$253,$A50)*$I50,0))</f>
        <v/>
      </c>
      <c r="P50" s="23">
        <f>IF(종목정보!$A48="","",IF($I50="","설정 시트에 환율을 넣으세요",IF($F50=0,"보유 없음",IF($H50="","시세 없음 - 매입가로 계산",""))))</f>
        <v/>
      </c>
    </row>
    <row r="51">
      <c r="A51" s="19">
        <f>IF(종목정보!$A49="","",IF(종목정보!$A49="","",종목정보!$A49))</f>
        <v/>
      </c>
      <c r="B51" s="19">
        <f>IF(종목정보!$A49="","",IF(종목정보!$B49="","",종목정보!$B49))</f>
        <v/>
      </c>
      <c r="C51" s="19">
        <f>IF(종목정보!$A49="","",IF(종목정보!$C49="","",종목정보!$C49))</f>
        <v/>
      </c>
      <c r="D51" s="19">
        <f>IF(종목정보!$A49="","",IF(종목정보!$E49="","",종목정보!$E49))</f>
        <v/>
      </c>
      <c r="E51" s="19">
        <f>IF(종목정보!$A49="","",IF(종목정보!$D49="","",종목정보!$D49))</f>
        <v/>
      </c>
      <c r="F51" s="14">
        <f>IF(종목정보!$A49="","",IFERROR(LOOKUP(2,1/(거래입력!$C$4:$C$253=$A51),거래입력!$L$4:$L$253),0))</f>
        <v/>
      </c>
      <c r="G51" s="14">
        <f>IF(종목정보!$A49="","",IFERROR(LOOKUP(2,1/(거래입력!$C$4:$C$253=$A51),거래입력!$O$4:$O$253),0))</f>
        <v/>
      </c>
      <c r="H51" s="20">
        <f>IF(종목정보!$A49="","",IF(종목정보!$F49="","",종목정보!$F49))</f>
        <v/>
      </c>
      <c r="I51" s="21">
        <f>IF(종목정보!$A49="","",IFERROR(INDEX(설정!$B$8:$B$15,MATCH($E51,설정!$A$8:$A$15,0)),""))</f>
        <v/>
      </c>
      <c r="J51" s="15">
        <f>IF(종목정보!$A49="","",IFERROR($F51*$G51*$I51,0))</f>
        <v/>
      </c>
      <c r="K51" s="15">
        <f>IF(종목정보!$A49="","",IFERROR(IF($H51="",$J51,$F51*$H51*$I51),0))</f>
        <v/>
      </c>
      <c r="L51" s="15">
        <f>IF(종목정보!$A49="","",IF($H51="","",$K51-$J51))</f>
        <v/>
      </c>
      <c r="M51" s="22">
        <f>IF(종목정보!$A49="","",IFERROR($L51/$J51,""))</f>
        <v/>
      </c>
      <c r="N51" s="22">
        <f>IF(종목정보!$A49="","",IFERROR($K51/보유현황!$D$3,0))</f>
        <v/>
      </c>
      <c r="O51" s="15">
        <f>IF(종목정보!$A49="","",IFERROR(SUMIFS(거래입력!$P$4:$P$253,거래입력!$C$4:$C$253,$A51)*$I51,0))</f>
        <v/>
      </c>
      <c r="P51" s="23">
        <f>IF(종목정보!$A49="","",IF($I51="","설정 시트에 환율을 넣으세요",IF($F51=0,"보유 없음",IF($H51="","시세 없음 - 매입가로 계산",""))))</f>
        <v/>
      </c>
    </row>
    <row r="52">
      <c r="A52" s="19">
        <f>IF(종목정보!$A50="","",IF(종목정보!$A50="","",종목정보!$A50))</f>
        <v/>
      </c>
      <c r="B52" s="19">
        <f>IF(종목정보!$A50="","",IF(종목정보!$B50="","",종목정보!$B50))</f>
        <v/>
      </c>
      <c r="C52" s="19">
        <f>IF(종목정보!$A50="","",IF(종목정보!$C50="","",종목정보!$C50))</f>
        <v/>
      </c>
      <c r="D52" s="19">
        <f>IF(종목정보!$A50="","",IF(종목정보!$E50="","",종목정보!$E50))</f>
        <v/>
      </c>
      <c r="E52" s="19">
        <f>IF(종목정보!$A50="","",IF(종목정보!$D50="","",종목정보!$D50))</f>
        <v/>
      </c>
      <c r="F52" s="14">
        <f>IF(종목정보!$A50="","",IFERROR(LOOKUP(2,1/(거래입력!$C$4:$C$253=$A52),거래입력!$L$4:$L$253),0))</f>
        <v/>
      </c>
      <c r="G52" s="14">
        <f>IF(종목정보!$A50="","",IFERROR(LOOKUP(2,1/(거래입력!$C$4:$C$253=$A52),거래입력!$O$4:$O$253),0))</f>
        <v/>
      </c>
      <c r="H52" s="20">
        <f>IF(종목정보!$A50="","",IF(종목정보!$F50="","",종목정보!$F50))</f>
        <v/>
      </c>
      <c r="I52" s="21">
        <f>IF(종목정보!$A50="","",IFERROR(INDEX(설정!$B$8:$B$15,MATCH($E52,설정!$A$8:$A$15,0)),""))</f>
        <v/>
      </c>
      <c r="J52" s="15">
        <f>IF(종목정보!$A50="","",IFERROR($F52*$G52*$I52,0))</f>
        <v/>
      </c>
      <c r="K52" s="15">
        <f>IF(종목정보!$A50="","",IFERROR(IF($H52="",$J52,$F52*$H52*$I52),0))</f>
        <v/>
      </c>
      <c r="L52" s="15">
        <f>IF(종목정보!$A50="","",IF($H52="","",$K52-$J52))</f>
        <v/>
      </c>
      <c r="M52" s="22">
        <f>IF(종목정보!$A50="","",IFERROR($L52/$J52,""))</f>
        <v/>
      </c>
      <c r="N52" s="22">
        <f>IF(종목정보!$A50="","",IFERROR($K52/보유현황!$D$3,0))</f>
        <v/>
      </c>
      <c r="O52" s="15">
        <f>IF(종목정보!$A50="","",IFERROR(SUMIFS(거래입력!$P$4:$P$253,거래입력!$C$4:$C$253,$A52)*$I52,0))</f>
        <v/>
      </c>
      <c r="P52" s="23">
        <f>IF(종목정보!$A50="","",IF($I52="","설정 시트에 환율을 넣으세요",IF($F52=0,"보유 없음",IF($H52="","시세 없음 - 매입가로 계산",""))))</f>
        <v/>
      </c>
    </row>
    <row r="53">
      <c r="A53" s="19">
        <f>IF(종목정보!$A51="","",IF(종목정보!$A51="","",종목정보!$A51))</f>
        <v/>
      </c>
      <c r="B53" s="19">
        <f>IF(종목정보!$A51="","",IF(종목정보!$B51="","",종목정보!$B51))</f>
        <v/>
      </c>
      <c r="C53" s="19">
        <f>IF(종목정보!$A51="","",IF(종목정보!$C51="","",종목정보!$C51))</f>
        <v/>
      </c>
      <c r="D53" s="19">
        <f>IF(종목정보!$A51="","",IF(종목정보!$E51="","",종목정보!$E51))</f>
        <v/>
      </c>
      <c r="E53" s="19">
        <f>IF(종목정보!$A51="","",IF(종목정보!$D51="","",종목정보!$D51))</f>
        <v/>
      </c>
      <c r="F53" s="14">
        <f>IF(종목정보!$A51="","",IFERROR(LOOKUP(2,1/(거래입력!$C$4:$C$253=$A53),거래입력!$L$4:$L$253),0))</f>
        <v/>
      </c>
      <c r="G53" s="14">
        <f>IF(종목정보!$A51="","",IFERROR(LOOKUP(2,1/(거래입력!$C$4:$C$253=$A53),거래입력!$O$4:$O$253),0))</f>
        <v/>
      </c>
      <c r="H53" s="20">
        <f>IF(종목정보!$A51="","",IF(종목정보!$F51="","",종목정보!$F51))</f>
        <v/>
      </c>
      <c r="I53" s="21">
        <f>IF(종목정보!$A51="","",IFERROR(INDEX(설정!$B$8:$B$15,MATCH($E53,설정!$A$8:$A$15,0)),""))</f>
        <v/>
      </c>
      <c r="J53" s="15">
        <f>IF(종목정보!$A51="","",IFERROR($F53*$G53*$I53,0))</f>
        <v/>
      </c>
      <c r="K53" s="15">
        <f>IF(종목정보!$A51="","",IFERROR(IF($H53="",$J53,$F53*$H53*$I53),0))</f>
        <v/>
      </c>
      <c r="L53" s="15">
        <f>IF(종목정보!$A51="","",IF($H53="","",$K53-$J53))</f>
        <v/>
      </c>
      <c r="M53" s="22">
        <f>IF(종목정보!$A51="","",IFERROR($L53/$J53,""))</f>
        <v/>
      </c>
      <c r="N53" s="22">
        <f>IF(종목정보!$A51="","",IFERROR($K53/보유현황!$D$3,0))</f>
        <v/>
      </c>
      <c r="O53" s="15">
        <f>IF(종목정보!$A51="","",IFERROR(SUMIFS(거래입력!$P$4:$P$253,거래입력!$C$4:$C$253,$A53)*$I53,0))</f>
        <v/>
      </c>
      <c r="P53" s="23">
        <f>IF(종목정보!$A51="","",IF($I53="","설정 시트에 환율을 넣으세요",IF($F53=0,"보유 없음",IF($H53="","시세 없음 - 매입가로 계산",""))))</f>
        <v/>
      </c>
    </row>
    <row r="54">
      <c r="A54" s="19">
        <f>IF(종목정보!$A52="","",IF(종목정보!$A52="","",종목정보!$A52))</f>
        <v/>
      </c>
      <c r="B54" s="19">
        <f>IF(종목정보!$A52="","",IF(종목정보!$B52="","",종목정보!$B52))</f>
        <v/>
      </c>
      <c r="C54" s="19">
        <f>IF(종목정보!$A52="","",IF(종목정보!$C52="","",종목정보!$C52))</f>
        <v/>
      </c>
      <c r="D54" s="19">
        <f>IF(종목정보!$A52="","",IF(종목정보!$E52="","",종목정보!$E52))</f>
        <v/>
      </c>
      <c r="E54" s="19">
        <f>IF(종목정보!$A52="","",IF(종목정보!$D52="","",종목정보!$D52))</f>
        <v/>
      </c>
      <c r="F54" s="14">
        <f>IF(종목정보!$A52="","",IFERROR(LOOKUP(2,1/(거래입력!$C$4:$C$253=$A54),거래입력!$L$4:$L$253),0))</f>
        <v/>
      </c>
      <c r="G54" s="14">
        <f>IF(종목정보!$A52="","",IFERROR(LOOKUP(2,1/(거래입력!$C$4:$C$253=$A54),거래입력!$O$4:$O$253),0))</f>
        <v/>
      </c>
      <c r="H54" s="20">
        <f>IF(종목정보!$A52="","",IF(종목정보!$F52="","",종목정보!$F52))</f>
        <v/>
      </c>
      <c r="I54" s="21">
        <f>IF(종목정보!$A52="","",IFERROR(INDEX(설정!$B$8:$B$15,MATCH($E54,설정!$A$8:$A$15,0)),""))</f>
        <v/>
      </c>
      <c r="J54" s="15">
        <f>IF(종목정보!$A52="","",IFERROR($F54*$G54*$I54,0))</f>
        <v/>
      </c>
      <c r="K54" s="15">
        <f>IF(종목정보!$A52="","",IFERROR(IF($H54="",$J54,$F54*$H54*$I54),0))</f>
        <v/>
      </c>
      <c r="L54" s="15">
        <f>IF(종목정보!$A52="","",IF($H54="","",$K54-$J54))</f>
        <v/>
      </c>
      <c r="M54" s="22">
        <f>IF(종목정보!$A52="","",IFERROR($L54/$J54,""))</f>
        <v/>
      </c>
      <c r="N54" s="22">
        <f>IF(종목정보!$A52="","",IFERROR($K54/보유현황!$D$3,0))</f>
        <v/>
      </c>
      <c r="O54" s="15">
        <f>IF(종목정보!$A52="","",IFERROR(SUMIFS(거래입력!$P$4:$P$253,거래입력!$C$4:$C$253,$A54)*$I54,0))</f>
        <v/>
      </c>
      <c r="P54" s="23">
        <f>IF(종목정보!$A52="","",IF($I54="","설정 시트에 환율을 넣으세요",IF($F54=0,"보유 없음",IF($H54="","시세 없음 - 매입가로 계산",""))))</f>
        <v/>
      </c>
    </row>
    <row r="55">
      <c r="A55" s="19">
        <f>IF(종목정보!$A53="","",IF(종목정보!$A53="","",종목정보!$A53))</f>
        <v/>
      </c>
      <c r="B55" s="19">
        <f>IF(종목정보!$A53="","",IF(종목정보!$B53="","",종목정보!$B53))</f>
        <v/>
      </c>
      <c r="C55" s="19">
        <f>IF(종목정보!$A53="","",IF(종목정보!$C53="","",종목정보!$C53))</f>
        <v/>
      </c>
      <c r="D55" s="19">
        <f>IF(종목정보!$A53="","",IF(종목정보!$E53="","",종목정보!$E53))</f>
        <v/>
      </c>
      <c r="E55" s="19">
        <f>IF(종목정보!$A53="","",IF(종목정보!$D53="","",종목정보!$D53))</f>
        <v/>
      </c>
      <c r="F55" s="14">
        <f>IF(종목정보!$A53="","",IFERROR(LOOKUP(2,1/(거래입력!$C$4:$C$253=$A55),거래입력!$L$4:$L$253),0))</f>
        <v/>
      </c>
      <c r="G55" s="14">
        <f>IF(종목정보!$A53="","",IFERROR(LOOKUP(2,1/(거래입력!$C$4:$C$253=$A55),거래입력!$O$4:$O$253),0))</f>
        <v/>
      </c>
      <c r="H55" s="20">
        <f>IF(종목정보!$A53="","",IF(종목정보!$F53="","",종목정보!$F53))</f>
        <v/>
      </c>
      <c r="I55" s="21">
        <f>IF(종목정보!$A53="","",IFERROR(INDEX(설정!$B$8:$B$15,MATCH($E55,설정!$A$8:$A$15,0)),""))</f>
        <v/>
      </c>
      <c r="J55" s="15">
        <f>IF(종목정보!$A53="","",IFERROR($F55*$G55*$I55,0))</f>
        <v/>
      </c>
      <c r="K55" s="15">
        <f>IF(종목정보!$A53="","",IFERROR(IF($H55="",$J55,$F55*$H55*$I55),0))</f>
        <v/>
      </c>
      <c r="L55" s="15">
        <f>IF(종목정보!$A53="","",IF($H55="","",$K55-$J55))</f>
        <v/>
      </c>
      <c r="M55" s="22">
        <f>IF(종목정보!$A53="","",IFERROR($L55/$J55,""))</f>
        <v/>
      </c>
      <c r="N55" s="22">
        <f>IF(종목정보!$A53="","",IFERROR($K55/보유현황!$D$3,0))</f>
        <v/>
      </c>
      <c r="O55" s="15">
        <f>IF(종목정보!$A53="","",IFERROR(SUMIFS(거래입력!$P$4:$P$253,거래입력!$C$4:$C$253,$A55)*$I55,0))</f>
        <v/>
      </c>
      <c r="P55" s="23">
        <f>IF(종목정보!$A53="","",IF($I55="","설정 시트에 환율을 넣으세요",IF($F55=0,"보유 없음",IF($H55="","시세 없음 - 매입가로 계산",""))))</f>
        <v/>
      </c>
    </row>
    <row r="56">
      <c r="A56" s="19">
        <f>IF(종목정보!$A54="","",IF(종목정보!$A54="","",종목정보!$A54))</f>
        <v/>
      </c>
      <c r="B56" s="19">
        <f>IF(종목정보!$A54="","",IF(종목정보!$B54="","",종목정보!$B54))</f>
        <v/>
      </c>
      <c r="C56" s="19">
        <f>IF(종목정보!$A54="","",IF(종목정보!$C54="","",종목정보!$C54))</f>
        <v/>
      </c>
      <c r="D56" s="19">
        <f>IF(종목정보!$A54="","",IF(종목정보!$E54="","",종목정보!$E54))</f>
        <v/>
      </c>
      <c r="E56" s="19">
        <f>IF(종목정보!$A54="","",IF(종목정보!$D54="","",종목정보!$D54))</f>
        <v/>
      </c>
      <c r="F56" s="14">
        <f>IF(종목정보!$A54="","",IFERROR(LOOKUP(2,1/(거래입력!$C$4:$C$253=$A56),거래입력!$L$4:$L$253),0))</f>
        <v/>
      </c>
      <c r="G56" s="14">
        <f>IF(종목정보!$A54="","",IFERROR(LOOKUP(2,1/(거래입력!$C$4:$C$253=$A56),거래입력!$O$4:$O$253),0))</f>
        <v/>
      </c>
      <c r="H56" s="20">
        <f>IF(종목정보!$A54="","",IF(종목정보!$F54="","",종목정보!$F54))</f>
        <v/>
      </c>
      <c r="I56" s="21">
        <f>IF(종목정보!$A54="","",IFERROR(INDEX(설정!$B$8:$B$15,MATCH($E56,설정!$A$8:$A$15,0)),""))</f>
        <v/>
      </c>
      <c r="J56" s="15">
        <f>IF(종목정보!$A54="","",IFERROR($F56*$G56*$I56,0))</f>
        <v/>
      </c>
      <c r="K56" s="15">
        <f>IF(종목정보!$A54="","",IFERROR(IF($H56="",$J56,$F56*$H56*$I56),0))</f>
        <v/>
      </c>
      <c r="L56" s="15">
        <f>IF(종목정보!$A54="","",IF($H56="","",$K56-$J56))</f>
        <v/>
      </c>
      <c r="M56" s="22">
        <f>IF(종목정보!$A54="","",IFERROR($L56/$J56,""))</f>
        <v/>
      </c>
      <c r="N56" s="22">
        <f>IF(종목정보!$A54="","",IFERROR($K56/보유현황!$D$3,0))</f>
        <v/>
      </c>
      <c r="O56" s="15">
        <f>IF(종목정보!$A54="","",IFERROR(SUMIFS(거래입력!$P$4:$P$253,거래입력!$C$4:$C$253,$A56)*$I56,0))</f>
        <v/>
      </c>
      <c r="P56" s="23">
        <f>IF(종목정보!$A54="","",IF($I56="","설정 시트에 환율을 넣으세요",IF($F56=0,"보유 없음",IF($H56="","시세 없음 - 매입가로 계산",""))))</f>
        <v/>
      </c>
    </row>
    <row r="57">
      <c r="A57" s="19">
        <f>IF(종목정보!$A55="","",IF(종목정보!$A55="","",종목정보!$A55))</f>
        <v/>
      </c>
      <c r="B57" s="19">
        <f>IF(종목정보!$A55="","",IF(종목정보!$B55="","",종목정보!$B55))</f>
        <v/>
      </c>
      <c r="C57" s="19">
        <f>IF(종목정보!$A55="","",IF(종목정보!$C55="","",종목정보!$C55))</f>
        <v/>
      </c>
      <c r="D57" s="19">
        <f>IF(종목정보!$A55="","",IF(종목정보!$E55="","",종목정보!$E55))</f>
        <v/>
      </c>
      <c r="E57" s="19">
        <f>IF(종목정보!$A55="","",IF(종목정보!$D55="","",종목정보!$D55))</f>
        <v/>
      </c>
      <c r="F57" s="14">
        <f>IF(종목정보!$A55="","",IFERROR(LOOKUP(2,1/(거래입력!$C$4:$C$253=$A57),거래입력!$L$4:$L$253),0))</f>
        <v/>
      </c>
      <c r="G57" s="14">
        <f>IF(종목정보!$A55="","",IFERROR(LOOKUP(2,1/(거래입력!$C$4:$C$253=$A57),거래입력!$O$4:$O$253),0))</f>
        <v/>
      </c>
      <c r="H57" s="20">
        <f>IF(종목정보!$A55="","",IF(종목정보!$F55="","",종목정보!$F55))</f>
        <v/>
      </c>
      <c r="I57" s="21">
        <f>IF(종목정보!$A55="","",IFERROR(INDEX(설정!$B$8:$B$15,MATCH($E57,설정!$A$8:$A$15,0)),""))</f>
        <v/>
      </c>
      <c r="J57" s="15">
        <f>IF(종목정보!$A55="","",IFERROR($F57*$G57*$I57,0))</f>
        <v/>
      </c>
      <c r="K57" s="15">
        <f>IF(종목정보!$A55="","",IFERROR(IF($H57="",$J57,$F57*$H57*$I57),0))</f>
        <v/>
      </c>
      <c r="L57" s="15">
        <f>IF(종목정보!$A55="","",IF($H57="","",$K57-$J57))</f>
        <v/>
      </c>
      <c r="M57" s="22">
        <f>IF(종목정보!$A55="","",IFERROR($L57/$J57,""))</f>
        <v/>
      </c>
      <c r="N57" s="22">
        <f>IF(종목정보!$A55="","",IFERROR($K57/보유현황!$D$3,0))</f>
        <v/>
      </c>
      <c r="O57" s="15">
        <f>IF(종목정보!$A55="","",IFERROR(SUMIFS(거래입력!$P$4:$P$253,거래입력!$C$4:$C$253,$A57)*$I57,0))</f>
        <v/>
      </c>
      <c r="P57" s="23">
        <f>IF(종목정보!$A55="","",IF($I57="","설정 시트에 환율을 넣으세요",IF($F57=0,"보유 없음",IF($H57="","시세 없음 - 매입가로 계산",""))))</f>
        <v/>
      </c>
    </row>
    <row r="58">
      <c r="A58" s="19">
        <f>IF(종목정보!$A56="","",IF(종목정보!$A56="","",종목정보!$A56))</f>
        <v/>
      </c>
      <c r="B58" s="19">
        <f>IF(종목정보!$A56="","",IF(종목정보!$B56="","",종목정보!$B56))</f>
        <v/>
      </c>
      <c r="C58" s="19">
        <f>IF(종목정보!$A56="","",IF(종목정보!$C56="","",종목정보!$C56))</f>
        <v/>
      </c>
      <c r="D58" s="19">
        <f>IF(종목정보!$A56="","",IF(종목정보!$E56="","",종목정보!$E56))</f>
        <v/>
      </c>
      <c r="E58" s="19">
        <f>IF(종목정보!$A56="","",IF(종목정보!$D56="","",종목정보!$D56))</f>
        <v/>
      </c>
      <c r="F58" s="14">
        <f>IF(종목정보!$A56="","",IFERROR(LOOKUP(2,1/(거래입력!$C$4:$C$253=$A58),거래입력!$L$4:$L$253),0))</f>
        <v/>
      </c>
      <c r="G58" s="14">
        <f>IF(종목정보!$A56="","",IFERROR(LOOKUP(2,1/(거래입력!$C$4:$C$253=$A58),거래입력!$O$4:$O$253),0))</f>
        <v/>
      </c>
      <c r="H58" s="20">
        <f>IF(종목정보!$A56="","",IF(종목정보!$F56="","",종목정보!$F56))</f>
        <v/>
      </c>
      <c r="I58" s="21">
        <f>IF(종목정보!$A56="","",IFERROR(INDEX(설정!$B$8:$B$15,MATCH($E58,설정!$A$8:$A$15,0)),""))</f>
        <v/>
      </c>
      <c r="J58" s="15">
        <f>IF(종목정보!$A56="","",IFERROR($F58*$G58*$I58,0))</f>
        <v/>
      </c>
      <c r="K58" s="15">
        <f>IF(종목정보!$A56="","",IFERROR(IF($H58="",$J58,$F58*$H58*$I58),0))</f>
        <v/>
      </c>
      <c r="L58" s="15">
        <f>IF(종목정보!$A56="","",IF($H58="","",$K58-$J58))</f>
        <v/>
      </c>
      <c r="M58" s="22">
        <f>IF(종목정보!$A56="","",IFERROR($L58/$J58,""))</f>
        <v/>
      </c>
      <c r="N58" s="22">
        <f>IF(종목정보!$A56="","",IFERROR($K58/보유현황!$D$3,0))</f>
        <v/>
      </c>
      <c r="O58" s="15">
        <f>IF(종목정보!$A56="","",IFERROR(SUMIFS(거래입력!$P$4:$P$253,거래입력!$C$4:$C$253,$A58)*$I58,0))</f>
        <v/>
      </c>
      <c r="P58" s="23">
        <f>IF(종목정보!$A56="","",IF($I58="","설정 시트에 환율을 넣으세요",IF($F58=0,"보유 없음",IF($H58="","시세 없음 - 매입가로 계산",""))))</f>
        <v/>
      </c>
    </row>
    <row r="59">
      <c r="A59" s="19">
        <f>IF(종목정보!$A57="","",IF(종목정보!$A57="","",종목정보!$A57))</f>
        <v/>
      </c>
      <c r="B59" s="19">
        <f>IF(종목정보!$A57="","",IF(종목정보!$B57="","",종목정보!$B57))</f>
        <v/>
      </c>
      <c r="C59" s="19">
        <f>IF(종목정보!$A57="","",IF(종목정보!$C57="","",종목정보!$C57))</f>
        <v/>
      </c>
      <c r="D59" s="19">
        <f>IF(종목정보!$A57="","",IF(종목정보!$E57="","",종목정보!$E57))</f>
        <v/>
      </c>
      <c r="E59" s="19">
        <f>IF(종목정보!$A57="","",IF(종목정보!$D57="","",종목정보!$D57))</f>
        <v/>
      </c>
      <c r="F59" s="14">
        <f>IF(종목정보!$A57="","",IFERROR(LOOKUP(2,1/(거래입력!$C$4:$C$253=$A59),거래입력!$L$4:$L$253),0))</f>
        <v/>
      </c>
      <c r="G59" s="14">
        <f>IF(종목정보!$A57="","",IFERROR(LOOKUP(2,1/(거래입력!$C$4:$C$253=$A59),거래입력!$O$4:$O$253),0))</f>
        <v/>
      </c>
      <c r="H59" s="20">
        <f>IF(종목정보!$A57="","",IF(종목정보!$F57="","",종목정보!$F57))</f>
        <v/>
      </c>
      <c r="I59" s="21">
        <f>IF(종목정보!$A57="","",IFERROR(INDEX(설정!$B$8:$B$15,MATCH($E59,설정!$A$8:$A$15,0)),""))</f>
        <v/>
      </c>
      <c r="J59" s="15">
        <f>IF(종목정보!$A57="","",IFERROR($F59*$G59*$I59,0))</f>
        <v/>
      </c>
      <c r="K59" s="15">
        <f>IF(종목정보!$A57="","",IFERROR(IF($H59="",$J59,$F59*$H59*$I59),0))</f>
        <v/>
      </c>
      <c r="L59" s="15">
        <f>IF(종목정보!$A57="","",IF($H59="","",$K59-$J59))</f>
        <v/>
      </c>
      <c r="M59" s="22">
        <f>IF(종목정보!$A57="","",IFERROR($L59/$J59,""))</f>
        <v/>
      </c>
      <c r="N59" s="22">
        <f>IF(종목정보!$A57="","",IFERROR($K59/보유현황!$D$3,0))</f>
        <v/>
      </c>
      <c r="O59" s="15">
        <f>IF(종목정보!$A57="","",IFERROR(SUMIFS(거래입력!$P$4:$P$253,거래입력!$C$4:$C$253,$A59)*$I59,0))</f>
        <v/>
      </c>
      <c r="P59" s="23">
        <f>IF(종목정보!$A57="","",IF($I59="","설정 시트에 환율을 넣으세요",IF($F59=0,"보유 없음",IF($H59="","시세 없음 - 매입가로 계산",""))))</f>
        <v/>
      </c>
    </row>
    <row r="60">
      <c r="A60" s="19">
        <f>IF(종목정보!$A58="","",IF(종목정보!$A58="","",종목정보!$A58))</f>
        <v/>
      </c>
      <c r="B60" s="19">
        <f>IF(종목정보!$A58="","",IF(종목정보!$B58="","",종목정보!$B58))</f>
        <v/>
      </c>
      <c r="C60" s="19">
        <f>IF(종목정보!$A58="","",IF(종목정보!$C58="","",종목정보!$C58))</f>
        <v/>
      </c>
      <c r="D60" s="19">
        <f>IF(종목정보!$A58="","",IF(종목정보!$E58="","",종목정보!$E58))</f>
        <v/>
      </c>
      <c r="E60" s="19">
        <f>IF(종목정보!$A58="","",IF(종목정보!$D58="","",종목정보!$D58))</f>
        <v/>
      </c>
      <c r="F60" s="14">
        <f>IF(종목정보!$A58="","",IFERROR(LOOKUP(2,1/(거래입력!$C$4:$C$253=$A60),거래입력!$L$4:$L$253),0))</f>
        <v/>
      </c>
      <c r="G60" s="14">
        <f>IF(종목정보!$A58="","",IFERROR(LOOKUP(2,1/(거래입력!$C$4:$C$253=$A60),거래입력!$O$4:$O$253),0))</f>
        <v/>
      </c>
      <c r="H60" s="20">
        <f>IF(종목정보!$A58="","",IF(종목정보!$F58="","",종목정보!$F58))</f>
        <v/>
      </c>
      <c r="I60" s="21">
        <f>IF(종목정보!$A58="","",IFERROR(INDEX(설정!$B$8:$B$15,MATCH($E60,설정!$A$8:$A$15,0)),""))</f>
        <v/>
      </c>
      <c r="J60" s="15">
        <f>IF(종목정보!$A58="","",IFERROR($F60*$G60*$I60,0))</f>
        <v/>
      </c>
      <c r="K60" s="15">
        <f>IF(종목정보!$A58="","",IFERROR(IF($H60="",$J60,$F60*$H60*$I60),0))</f>
        <v/>
      </c>
      <c r="L60" s="15">
        <f>IF(종목정보!$A58="","",IF($H60="","",$K60-$J60))</f>
        <v/>
      </c>
      <c r="M60" s="22">
        <f>IF(종목정보!$A58="","",IFERROR($L60/$J60,""))</f>
        <v/>
      </c>
      <c r="N60" s="22">
        <f>IF(종목정보!$A58="","",IFERROR($K60/보유현황!$D$3,0))</f>
        <v/>
      </c>
      <c r="O60" s="15">
        <f>IF(종목정보!$A58="","",IFERROR(SUMIFS(거래입력!$P$4:$P$253,거래입력!$C$4:$C$253,$A60)*$I60,0))</f>
        <v/>
      </c>
      <c r="P60" s="23">
        <f>IF(종목정보!$A58="","",IF($I60="","설정 시트에 환율을 넣으세요",IF($F60=0,"보유 없음",IF($H60="","시세 없음 - 매입가로 계산",""))))</f>
        <v/>
      </c>
    </row>
    <row r="61">
      <c r="A61" s="19">
        <f>IF(종목정보!$A59="","",IF(종목정보!$A59="","",종목정보!$A59))</f>
        <v/>
      </c>
      <c r="B61" s="19">
        <f>IF(종목정보!$A59="","",IF(종목정보!$B59="","",종목정보!$B59))</f>
        <v/>
      </c>
      <c r="C61" s="19">
        <f>IF(종목정보!$A59="","",IF(종목정보!$C59="","",종목정보!$C59))</f>
        <v/>
      </c>
      <c r="D61" s="19">
        <f>IF(종목정보!$A59="","",IF(종목정보!$E59="","",종목정보!$E59))</f>
        <v/>
      </c>
      <c r="E61" s="19">
        <f>IF(종목정보!$A59="","",IF(종목정보!$D59="","",종목정보!$D59))</f>
        <v/>
      </c>
      <c r="F61" s="14">
        <f>IF(종목정보!$A59="","",IFERROR(LOOKUP(2,1/(거래입력!$C$4:$C$253=$A61),거래입력!$L$4:$L$253),0))</f>
        <v/>
      </c>
      <c r="G61" s="14">
        <f>IF(종목정보!$A59="","",IFERROR(LOOKUP(2,1/(거래입력!$C$4:$C$253=$A61),거래입력!$O$4:$O$253),0))</f>
        <v/>
      </c>
      <c r="H61" s="20">
        <f>IF(종목정보!$A59="","",IF(종목정보!$F59="","",종목정보!$F59))</f>
        <v/>
      </c>
      <c r="I61" s="21">
        <f>IF(종목정보!$A59="","",IFERROR(INDEX(설정!$B$8:$B$15,MATCH($E61,설정!$A$8:$A$15,0)),""))</f>
        <v/>
      </c>
      <c r="J61" s="15">
        <f>IF(종목정보!$A59="","",IFERROR($F61*$G61*$I61,0))</f>
        <v/>
      </c>
      <c r="K61" s="15">
        <f>IF(종목정보!$A59="","",IFERROR(IF($H61="",$J61,$F61*$H61*$I61),0))</f>
        <v/>
      </c>
      <c r="L61" s="15">
        <f>IF(종목정보!$A59="","",IF($H61="","",$K61-$J61))</f>
        <v/>
      </c>
      <c r="M61" s="22">
        <f>IF(종목정보!$A59="","",IFERROR($L61/$J61,""))</f>
        <v/>
      </c>
      <c r="N61" s="22">
        <f>IF(종목정보!$A59="","",IFERROR($K61/보유현황!$D$3,0))</f>
        <v/>
      </c>
      <c r="O61" s="15">
        <f>IF(종목정보!$A59="","",IFERROR(SUMIFS(거래입력!$P$4:$P$253,거래입력!$C$4:$C$253,$A61)*$I61,0))</f>
        <v/>
      </c>
      <c r="P61" s="23">
        <f>IF(종목정보!$A59="","",IF($I61="","설정 시트에 환율을 넣으세요",IF($F61=0,"보유 없음",IF($H61="","시세 없음 - 매입가로 계산",""))))</f>
        <v/>
      </c>
    </row>
    <row r="62">
      <c r="A62" s="19">
        <f>IF(종목정보!$A60="","",IF(종목정보!$A60="","",종목정보!$A60))</f>
        <v/>
      </c>
      <c r="B62" s="19">
        <f>IF(종목정보!$A60="","",IF(종목정보!$B60="","",종목정보!$B60))</f>
        <v/>
      </c>
      <c r="C62" s="19">
        <f>IF(종목정보!$A60="","",IF(종목정보!$C60="","",종목정보!$C60))</f>
        <v/>
      </c>
      <c r="D62" s="19">
        <f>IF(종목정보!$A60="","",IF(종목정보!$E60="","",종목정보!$E60))</f>
        <v/>
      </c>
      <c r="E62" s="19">
        <f>IF(종목정보!$A60="","",IF(종목정보!$D60="","",종목정보!$D60))</f>
        <v/>
      </c>
      <c r="F62" s="14">
        <f>IF(종목정보!$A60="","",IFERROR(LOOKUP(2,1/(거래입력!$C$4:$C$253=$A62),거래입력!$L$4:$L$253),0))</f>
        <v/>
      </c>
      <c r="G62" s="14">
        <f>IF(종목정보!$A60="","",IFERROR(LOOKUP(2,1/(거래입력!$C$4:$C$253=$A62),거래입력!$O$4:$O$253),0))</f>
        <v/>
      </c>
      <c r="H62" s="20">
        <f>IF(종목정보!$A60="","",IF(종목정보!$F60="","",종목정보!$F60))</f>
        <v/>
      </c>
      <c r="I62" s="21">
        <f>IF(종목정보!$A60="","",IFERROR(INDEX(설정!$B$8:$B$15,MATCH($E62,설정!$A$8:$A$15,0)),""))</f>
        <v/>
      </c>
      <c r="J62" s="15">
        <f>IF(종목정보!$A60="","",IFERROR($F62*$G62*$I62,0))</f>
        <v/>
      </c>
      <c r="K62" s="15">
        <f>IF(종목정보!$A60="","",IFERROR(IF($H62="",$J62,$F62*$H62*$I62),0))</f>
        <v/>
      </c>
      <c r="L62" s="15">
        <f>IF(종목정보!$A60="","",IF($H62="","",$K62-$J62))</f>
        <v/>
      </c>
      <c r="M62" s="22">
        <f>IF(종목정보!$A60="","",IFERROR($L62/$J62,""))</f>
        <v/>
      </c>
      <c r="N62" s="22">
        <f>IF(종목정보!$A60="","",IFERROR($K62/보유현황!$D$3,0))</f>
        <v/>
      </c>
      <c r="O62" s="15">
        <f>IF(종목정보!$A60="","",IFERROR(SUMIFS(거래입력!$P$4:$P$253,거래입력!$C$4:$C$253,$A62)*$I62,0))</f>
        <v/>
      </c>
      <c r="P62" s="23">
        <f>IF(종목정보!$A60="","",IF($I62="","설정 시트에 환율을 넣으세요",IF($F62=0,"보유 없음",IF($H62="","시세 없음 - 매입가로 계산",""))))</f>
        <v/>
      </c>
    </row>
    <row r="63">
      <c r="A63" s="19">
        <f>IF(종목정보!$A61="","",IF(종목정보!$A61="","",종목정보!$A61))</f>
        <v/>
      </c>
      <c r="B63" s="19">
        <f>IF(종목정보!$A61="","",IF(종목정보!$B61="","",종목정보!$B61))</f>
        <v/>
      </c>
      <c r="C63" s="19">
        <f>IF(종목정보!$A61="","",IF(종목정보!$C61="","",종목정보!$C61))</f>
        <v/>
      </c>
      <c r="D63" s="19">
        <f>IF(종목정보!$A61="","",IF(종목정보!$E61="","",종목정보!$E61))</f>
        <v/>
      </c>
      <c r="E63" s="19">
        <f>IF(종목정보!$A61="","",IF(종목정보!$D61="","",종목정보!$D61))</f>
        <v/>
      </c>
      <c r="F63" s="14">
        <f>IF(종목정보!$A61="","",IFERROR(LOOKUP(2,1/(거래입력!$C$4:$C$253=$A63),거래입력!$L$4:$L$253),0))</f>
        <v/>
      </c>
      <c r="G63" s="14">
        <f>IF(종목정보!$A61="","",IFERROR(LOOKUP(2,1/(거래입력!$C$4:$C$253=$A63),거래입력!$O$4:$O$253),0))</f>
        <v/>
      </c>
      <c r="H63" s="20">
        <f>IF(종목정보!$A61="","",IF(종목정보!$F61="","",종목정보!$F61))</f>
        <v/>
      </c>
      <c r="I63" s="21">
        <f>IF(종목정보!$A61="","",IFERROR(INDEX(설정!$B$8:$B$15,MATCH($E63,설정!$A$8:$A$15,0)),""))</f>
        <v/>
      </c>
      <c r="J63" s="15">
        <f>IF(종목정보!$A61="","",IFERROR($F63*$G63*$I63,0))</f>
        <v/>
      </c>
      <c r="K63" s="15">
        <f>IF(종목정보!$A61="","",IFERROR(IF($H63="",$J63,$F63*$H63*$I63),0))</f>
        <v/>
      </c>
      <c r="L63" s="15">
        <f>IF(종목정보!$A61="","",IF($H63="","",$K63-$J63))</f>
        <v/>
      </c>
      <c r="M63" s="22">
        <f>IF(종목정보!$A61="","",IFERROR($L63/$J63,""))</f>
        <v/>
      </c>
      <c r="N63" s="22">
        <f>IF(종목정보!$A61="","",IFERROR($K63/보유현황!$D$3,0))</f>
        <v/>
      </c>
      <c r="O63" s="15">
        <f>IF(종목정보!$A61="","",IFERROR(SUMIFS(거래입력!$P$4:$P$253,거래입력!$C$4:$C$253,$A63)*$I63,0))</f>
        <v/>
      </c>
      <c r="P63" s="23">
        <f>IF(종목정보!$A61="","",IF($I63="","설정 시트에 환율을 넣으세요",IF($F63=0,"보유 없음",IF($H63="","시세 없음 - 매입가로 계산",""))))</f>
        <v/>
      </c>
    </row>
    <row r="64">
      <c r="A64" s="19">
        <f>IF(종목정보!$A62="","",IF(종목정보!$A62="","",종목정보!$A62))</f>
        <v/>
      </c>
      <c r="B64" s="19">
        <f>IF(종목정보!$A62="","",IF(종목정보!$B62="","",종목정보!$B62))</f>
        <v/>
      </c>
      <c r="C64" s="19">
        <f>IF(종목정보!$A62="","",IF(종목정보!$C62="","",종목정보!$C62))</f>
        <v/>
      </c>
      <c r="D64" s="19">
        <f>IF(종목정보!$A62="","",IF(종목정보!$E62="","",종목정보!$E62))</f>
        <v/>
      </c>
      <c r="E64" s="19">
        <f>IF(종목정보!$A62="","",IF(종목정보!$D62="","",종목정보!$D62))</f>
        <v/>
      </c>
      <c r="F64" s="14">
        <f>IF(종목정보!$A62="","",IFERROR(LOOKUP(2,1/(거래입력!$C$4:$C$253=$A64),거래입력!$L$4:$L$253),0))</f>
        <v/>
      </c>
      <c r="G64" s="14">
        <f>IF(종목정보!$A62="","",IFERROR(LOOKUP(2,1/(거래입력!$C$4:$C$253=$A64),거래입력!$O$4:$O$253),0))</f>
        <v/>
      </c>
      <c r="H64" s="20">
        <f>IF(종목정보!$A62="","",IF(종목정보!$F62="","",종목정보!$F62))</f>
        <v/>
      </c>
      <c r="I64" s="21">
        <f>IF(종목정보!$A62="","",IFERROR(INDEX(설정!$B$8:$B$15,MATCH($E64,설정!$A$8:$A$15,0)),""))</f>
        <v/>
      </c>
      <c r="J64" s="15">
        <f>IF(종목정보!$A62="","",IFERROR($F64*$G64*$I64,0))</f>
        <v/>
      </c>
      <c r="K64" s="15">
        <f>IF(종목정보!$A62="","",IFERROR(IF($H64="",$J64,$F64*$H64*$I64),0))</f>
        <v/>
      </c>
      <c r="L64" s="15">
        <f>IF(종목정보!$A62="","",IF($H64="","",$K64-$J64))</f>
        <v/>
      </c>
      <c r="M64" s="22">
        <f>IF(종목정보!$A62="","",IFERROR($L64/$J64,""))</f>
        <v/>
      </c>
      <c r="N64" s="22">
        <f>IF(종목정보!$A62="","",IFERROR($K64/보유현황!$D$3,0))</f>
        <v/>
      </c>
      <c r="O64" s="15">
        <f>IF(종목정보!$A62="","",IFERROR(SUMIFS(거래입력!$P$4:$P$253,거래입력!$C$4:$C$253,$A64)*$I64,0))</f>
        <v/>
      </c>
      <c r="P64" s="23">
        <f>IF(종목정보!$A62="","",IF($I64="","설정 시트에 환율을 넣으세요",IF($F64=0,"보유 없음",IF($H64="","시세 없음 - 매입가로 계산",""))))</f>
        <v/>
      </c>
    </row>
    <row r="65">
      <c r="A65" s="19">
        <f>IF(종목정보!$A63="","",IF(종목정보!$A63="","",종목정보!$A63))</f>
        <v/>
      </c>
      <c r="B65" s="19">
        <f>IF(종목정보!$A63="","",IF(종목정보!$B63="","",종목정보!$B63))</f>
        <v/>
      </c>
      <c r="C65" s="19">
        <f>IF(종목정보!$A63="","",IF(종목정보!$C63="","",종목정보!$C63))</f>
        <v/>
      </c>
      <c r="D65" s="19">
        <f>IF(종목정보!$A63="","",IF(종목정보!$E63="","",종목정보!$E63))</f>
        <v/>
      </c>
      <c r="E65" s="19">
        <f>IF(종목정보!$A63="","",IF(종목정보!$D63="","",종목정보!$D63))</f>
        <v/>
      </c>
      <c r="F65" s="14">
        <f>IF(종목정보!$A63="","",IFERROR(LOOKUP(2,1/(거래입력!$C$4:$C$253=$A65),거래입력!$L$4:$L$253),0))</f>
        <v/>
      </c>
      <c r="G65" s="14">
        <f>IF(종목정보!$A63="","",IFERROR(LOOKUP(2,1/(거래입력!$C$4:$C$253=$A65),거래입력!$O$4:$O$253),0))</f>
        <v/>
      </c>
      <c r="H65" s="20">
        <f>IF(종목정보!$A63="","",IF(종목정보!$F63="","",종목정보!$F63))</f>
        <v/>
      </c>
      <c r="I65" s="21">
        <f>IF(종목정보!$A63="","",IFERROR(INDEX(설정!$B$8:$B$15,MATCH($E65,설정!$A$8:$A$15,0)),""))</f>
        <v/>
      </c>
      <c r="J65" s="15">
        <f>IF(종목정보!$A63="","",IFERROR($F65*$G65*$I65,0))</f>
        <v/>
      </c>
      <c r="K65" s="15">
        <f>IF(종목정보!$A63="","",IFERROR(IF($H65="",$J65,$F65*$H65*$I65),0))</f>
        <v/>
      </c>
      <c r="L65" s="15">
        <f>IF(종목정보!$A63="","",IF($H65="","",$K65-$J65))</f>
        <v/>
      </c>
      <c r="M65" s="22">
        <f>IF(종목정보!$A63="","",IFERROR($L65/$J65,""))</f>
        <v/>
      </c>
      <c r="N65" s="22">
        <f>IF(종목정보!$A63="","",IFERROR($K65/보유현황!$D$3,0))</f>
        <v/>
      </c>
      <c r="O65" s="15">
        <f>IF(종목정보!$A63="","",IFERROR(SUMIFS(거래입력!$P$4:$P$253,거래입력!$C$4:$C$253,$A65)*$I65,0))</f>
        <v/>
      </c>
      <c r="P65" s="23">
        <f>IF(종목정보!$A63="","",IF($I65="","설정 시트에 환율을 넣으세요",IF($F65=0,"보유 없음",IF($H65="","시세 없음 - 매입가로 계산",""))))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1" customWidth="1" min="4" max="4"/>
    <col width="11" customWidth="1" min="5" max="5"/>
    <col width="14" customWidth="1" min="6" max="6"/>
    <col width="16" customWidth="1" min="7" max="7"/>
    <col width="34" customWidth="1" min="8" max="8"/>
  </cols>
  <sheetData>
    <row r="1">
      <c r="A1" s="1" t="inlineStr">
        <is>
          <t>국가별</t>
        </is>
      </c>
    </row>
    <row r="2">
      <c r="A2" s="2" t="inlineStr">
        <is>
          <t>국가별 비중과 목표. 노란 칸(항목·목표 비중)만 고치세요.</t>
        </is>
      </c>
    </row>
    <row r="3" ht="30" customHeight="1">
      <c r="A3" s="8" t="inlineStr">
        <is>
          <t>항목</t>
        </is>
      </c>
      <c r="B3" s="8" t="inlineStr">
        <is>
          <t>평가금액(원)</t>
        </is>
      </c>
      <c r="C3" s="8" t="inlineStr">
        <is>
          <t>현재 비중</t>
        </is>
      </c>
      <c r="D3" s="8" t="inlineStr">
        <is>
          <t>목표 비중</t>
        </is>
      </c>
      <c r="E3" s="8" t="inlineStr">
        <is>
          <t>차이</t>
        </is>
      </c>
      <c r="F3" s="8" t="inlineStr">
        <is>
          <t>판정</t>
        </is>
      </c>
      <c r="G3" s="8" t="inlineStr">
        <is>
          <t>조정 금액(원)</t>
        </is>
      </c>
      <c r="H3" s="8" t="inlineStr">
        <is>
          <t>메모</t>
        </is>
      </c>
    </row>
    <row r="4">
      <c r="A4" s="9" t="inlineStr">
        <is>
          <t>KR</t>
        </is>
      </c>
      <c r="B4" s="15">
        <f>IF($A4="","",SUMIFS(보유현황!$K$6:$K$65,보유현황!$C$6:$C$65,$A4))</f>
        <v/>
      </c>
      <c r="C4" s="22">
        <f>IF($A4="","",IFERROR($B4/보유현황!$D$3,0))</f>
        <v/>
      </c>
      <c r="D4" s="24" t="n">
        <v>0.5</v>
      </c>
      <c r="E4" s="22">
        <f>IF($A4="","",IF($D4="","",$C4-$D4))</f>
        <v/>
      </c>
      <c r="F4" s="23">
        <f>IF($A4="","",IF($D4="","목표 없음",IF($C4&gt;$D4+설정!$B$21,"비중 많음",IF($C4&lt;$D4-설정!$B$21,"비중 적음","적정"))))</f>
        <v/>
      </c>
      <c r="G4" s="15">
        <f>IF($A4="","",IF($D4="","",-$E4*보유현황!$D$3))</f>
        <v/>
      </c>
      <c r="H4" s="2" t="inlineStr">
        <is>
          <t>한국</t>
        </is>
      </c>
    </row>
    <row r="5">
      <c r="A5" s="9" t="inlineStr">
        <is>
          <t>US</t>
        </is>
      </c>
      <c r="B5" s="15">
        <f>IF($A5="","",SUMIFS(보유현황!$K$6:$K$65,보유현황!$C$6:$C$65,$A5))</f>
        <v/>
      </c>
      <c r="C5" s="22">
        <f>IF($A5="","",IFERROR($B5/보유현황!$D$3,0))</f>
        <v/>
      </c>
      <c r="D5" s="24" t="n">
        <v>0.5</v>
      </c>
      <c r="E5" s="22">
        <f>IF($A5="","",IF($D5="","",$C5-$D5))</f>
        <v/>
      </c>
      <c r="F5" s="23">
        <f>IF($A5="","",IF($D5="","목표 없음",IF($C5&gt;$D5+설정!$B$21,"비중 많음",IF($C5&lt;$D5-설정!$B$21,"비중 적음","적정"))))</f>
        <v/>
      </c>
      <c r="G5" s="15">
        <f>IF($A5="","",IF($D5="","",-$E5*보유현황!$D$3))</f>
        <v/>
      </c>
      <c r="H5" s="2" t="inlineStr">
        <is>
          <t>미국</t>
        </is>
      </c>
    </row>
    <row r="6">
      <c r="A6" s="9" t="inlineStr">
        <is>
          <t>VN</t>
        </is>
      </c>
      <c r="B6" s="15">
        <f>IF($A6="","",SUMIFS(보유현황!$K$6:$K$65,보유현황!$C$6:$C$65,$A6))</f>
        <v/>
      </c>
      <c r="C6" s="22">
        <f>IF($A6="","",IFERROR($B6/보유현황!$D$3,0))</f>
        <v/>
      </c>
      <c r="D6" s="24" t="n"/>
      <c r="E6" s="22">
        <f>IF($A6="","",IF($D6="","",$C6-$D6))</f>
        <v/>
      </c>
      <c r="F6" s="23">
        <f>IF($A6="","",IF($D6="","목표 없음",IF($C6&gt;$D6+설정!$B$21,"비중 많음",IF($C6&lt;$D6-설정!$B$21,"비중 적음","적정"))))</f>
        <v/>
      </c>
      <c r="G6" s="15">
        <f>IF($A6="","",IF($D6="","",-$E6*보유현황!$D$3))</f>
        <v/>
      </c>
      <c r="H6" s="2" t="inlineStr">
        <is>
          <t>베트남 - 목표를 넣으면 판정합니다</t>
        </is>
      </c>
    </row>
    <row r="7">
      <c r="A7" s="9" t="n"/>
      <c r="B7" s="15">
        <f>IF($A7="","",SUMIFS(보유현황!$K$6:$K$65,보유현황!$C$6:$C$65,$A7))</f>
        <v/>
      </c>
      <c r="C7" s="22">
        <f>IF($A7="","",IFERROR($B7/보유현황!$D$3,0))</f>
        <v/>
      </c>
      <c r="D7" s="24" t="n"/>
      <c r="E7" s="22">
        <f>IF($A7="","",IF($D7="","",$C7-$D7))</f>
        <v/>
      </c>
      <c r="F7" s="23">
        <f>IF($A7="","",IF($D7="","목표 없음",IF($C7&gt;$D7+설정!$B$21,"비중 많음",IF($C7&lt;$D7-설정!$B$21,"비중 적음","적정"))))</f>
        <v/>
      </c>
      <c r="G7" s="15">
        <f>IF($A7="","",IF($D7="","",-$E7*보유현황!$D$3))</f>
        <v/>
      </c>
      <c r="H7" s="2" t="n"/>
    </row>
    <row r="8">
      <c r="A8" s="9" t="n"/>
      <c r="B8" s="15">
        <f>IF($A8="","",SUMIFS(보유현황!$K$6:$K$65,보유현황!$C$6:$C$65,$A8))</f>
        <v/>
      </c>
      <c r="C8" s="22">
        <f>IF($A8="","",IFERROR($B8/보유현황!$D$3,0))</f>
        <v/>
      </c>
      <c r="D8" s="24" t="n"/>
      <c r="E8" s="22">
        <f>IF($A8="","",IF($D8="","",$C8-$D8))</f>
        <v/>
      </c>
      <c r="F8" s="23">
        <f>IF($A8="","",IF($D8="","목표 없음",IF($C8&gt;$D8+설정!$B$21,"비중 많음",IF($C8&lt;$D8-설정!$B$21,"비중 적음","적정"))))</f>
        <v/>
      </c>
      <c r="G8" s="15">
        <f>IF($A8="","",IF($D8="","",-$E8*보유현황!$D$3))</f>
        <v/>
      </c>
      <c r="H8" s="2" t="n"/>
    </row>
    <row r="9">
      <c r="A9" s="9" t="n"/>
      <c r="B9" s="15">
        <f>IF($A9="","",SUMIFS(보유현황!$K$6:$K$65,보유현황!$C$6:$C$65,$A9))</f>
        <v/>
      </c>
      <c r="C9" s="22">
        <f>IF($A9="","",IFERROR($B9/보유현황!$D$3,0))</f>
        <v/>
      </c>
      <c r="D9" s="24" t="n"/>
      <c r="E9" s="22">
        <f>IF($A9="","",IF($D9="","",$C9-$D9))</f>
        <v/>
      </c>
      <c r="F9" s="23">
        <f>IF($A9="","",IF($D9="","목표 없음",IF($C9&gt;$D9+설정!$B$21,"비중 많음",IF($C9&lt;$D9-설정!$B$21,"비중 적음","적정"))))</f>
        <v/>
      </c>
      <c r="G9" s="15">
        <f>IF($A9="","",IF($D9="","",-$E9*보유현황!$D$3))</f>
        <v/>
      </c>
      <c r="H9" s="2" t="n"/>
    </row>
    <row r="10">
      <c r="A10" s="9" t="n"/>
      <c r="B10" s="15">
        <f>IF($A10="","",SUMIFS(보유현황!$K$6:$K$65,보유현황!$C$6:$C$65,$A10))</f>
        <v/>
      </c>
      <c r="C10" s="22">
        <f>IF($A10="","",IFERROR($B10/보유현황!$D$3,0))</f>
        <v/>
      </c>
      <c r="D10" s="24" t="n"/>
      <c r="E10" s="22">
        <f>IF($A10="","",IF($D10="","",$C10-$D10))</f>
        <v/>
      </c>
      <c r="F10" s="23">
        <f>IF($A10="","",IF($D10="","목표 없음",IF($C10&gt;$D10+설정!$B$21,"비중 많음",IF($C10&lt;$D10-설정!$B$21,"비중 적음","적정"))))</f>
        <v/>
      </c>
      <c r="G10" s="15">
        <f>IF($A10="","",IF($D10="","",-$E10*보유현황!$D$3))</f>
        <v/>
      </c>
      <c r="H10" s="2" t="n"/>
    </row>
    <row r="11">
      <c r="A11" s="9" t="n"/>
      <c r="B11" s="15">
        <f>IF($A11="","",SUMIFS(보유현황!$K$6:$K$65,보유현황!$C$6:$C$65,$A11))</f>
        <v/>
      </c>
      <c r="C11" s="22">
        <f>IF($A11="","",IFERROR($B11/보유현황!$D$3,0))</f>
        <v/>
      </c>
      <c r="D11" s="24" t="n"/>
      <c r="E11" s="22">
        <f>IF($A11="","",IF($D11="","",$C11-$D11))</f>
        <v/>
      </c>
      <c r="F11" s="23">
        <f>IF($A11="","",IF($D11="","목표 없음",IF($C11&gt;$D11+설정!$B$21,"비중 많음",IF($C11&lt;$D11-설정!$B$21,"비중 적음","적정"))))</f>
        <v/>
      </c>
      <c r="G11" s="15">
        <f>IF($A11="","",IF($D11="","",-$E11*보유현황!$D$3))</f>
        <v/>
      </c>
      <c r="H11" s="2" t="n"/>
    </row>
    <row r="12">
      <c r="A12" s="9" t="n"/>
      <c r="B12" s="15">
        <f>IF($A12="","",SUMIFS(보유현황!$K$6:$K$65,보유현황!$C$6:$C$65,$A12))</f>
        <v/>
      </c>
      <c r="C12" s="22">
        <f>IF($A12="","",IFERROR($B12/보유현황!$D$3,0))</f>
        <v/>
      </c>
      <c r="D12" s="24" t="n"/>
      <c r="E12" s="22">
        <f>IF($A12="","",IF($D12="","",$C12-$D12))</f>
        <v/>
      </c>
      <c r="F12" s="23">
        <f>IF($A12="","",IF($D12="","목표 없음",IF($C12&gt;$D12+설정!$B$21,"비중 많음",IF($C12&lt;$D12-설정!$B$21,"비중 적음","적정"))))</f>
        <v/>
      </c>
      <c r="G12" s="15">
        <f>IF($A12="","",IF($D12="","",-$E12*보유현황!$D$3))</f>
        <v/>
      </c>
      <c r="H12" s="2" t="n"/>
    </row>
    <row r="13">
      <c r="A13" s="9" t="n"/>
      <c r="B13" s="15">
        <f>IF($A13="","",SUMIFS(보유현황!$K$6:$K$65,보유현황!$C$6:$C$65,$A13))</f>
        <v/>
      </c>
      <c r="C13" s="22">
        <f>IF($A13="","",IFERROR($B13/보유현황!$D$3,0))</f>
        <v/>
      </c>
      <c r="D13" s="24" t="n"/>
      <c r="E13" s="22">
        <f>IF($A13="","",IF($D13="","",$C13-$D13))</f>
        <v/>
      </c>
      <c r="F13" s="23">
        <f>IF($A13="","",IF($D13="","목표 없음",IF($C13&gt;$D13+설정!$B$21,"비중 많음",IF($C13&lt;$D13-설정!$B$21,"비중 적음","적정"))))</f>
        <v/>
      </c>
      <c r="G13" s="15">
        <f>IF($A13="","",IF($D13="","",-$E13*보유현황!$D$3))</f>
        <v/>
      </c>
      <c r="H13" s="2" t="n"/>
    </row>
    <row r="14">
      <c r="A14" s="9" t="n"/>
      <c r="B14" s="15">
        <f>IF($A14="","",SUMIFS(보유현황!$K$6:$K$65,보유현황!$C$6:$C$65,$A14))</f>
        <v/>
      </c>
      <c r="C14" s="22">
        <f>IF($A14="","",IFERROR($B14/보유현황!$D$3,0))</f>
        <v/>
      </c>
      <c r="D14" s="24" t="n"/>
      <c r="E14" s="22">
        <f>IF($A14="","",IF($D14="","",$C14-$D14))</f>
        <v/>
      </c>
      <c r="F14" s="23">
        <f>IF($A14="","",IF($D14="","목표 없음",IF($C14&gt;$D14+설정!$B$21,"비중 많음",IF($C14&lt;$D14-설정!$B$21,"비중 적음","적정"))))</f>
        <v/>
      </c>
      <c r="G14" s="15">
        <f>IF($A14="","",IF($D14="","",-$E14*보유현황!$D$3))</f>
        <v/>
      </c>
      <c r="H14" s="2" t="n"/>
    </row>
    <row r="15">
      <c r="A15" s="9" t="n"/>
      <c r="B15" s="15">
        <f>IF($A15="","",SUMIFS(보유현황!$K$6:$K$65,보유현황!$C$6:$C$65,$A15))</f>
        <v/>
      </c>
      <c r="C15" s="22">
        <f>IF($A15="","",IFERROR($B15/보유현황!$D$3,0))</f>
        <v/>
      </c>
      <c r="D15" s="24" t="n"/>
      <c r="E15" s="22">
        <f>IF($A15="","",IF($D15="","",$C15-$D15))</f>
        <v/>
      </c>
      <c r="F15" s="23">
        <f>IF($A15="","",IF($D15="","목표 없음",IF($C15&gt;$D15+설정!$B$21,"비중 많음",IF($C15&lt;$D15-설정!$B$21,"비중 적음","적정"))))</f>
        <v/>
      </c>
      <c r="G15" s="15">
        <f>IF($A15="","",IF($D15="","",-$E15*보유현황!$D$3))</f>
        <v/>
      </c>
      <c r="H15" s="2" t="n"/>
    </row>
    <row r="16">
      <c r="A16" s="9" t="n"/>
      <c r="B16" s="15">
        <f>IF($A16="","",SUMIFS(보유현황!$K$6:$K$65,보유현황!$C$6:$C$65,$A16))</f>
        <v/>
      </c>
      <c r="C16" s="22">
        <f>IF($A16="","",IFERROR($B16/보유현황!$D$3,0))</f>
        <v/>
      </c>
      <c r="D16" s="24" t="n"/>
      <c r="E16" s="22">
        <f>IF($A16="","",IF($D16="","",$C16-$D16))</f>
        <v/>
      </c>
      <c r="F16" s="23">
        <f>IF($A16="","",IF($D16="","목표 없음",IF($C16&gt;$D16+설정!$B$21,"비중 많음",IF($C16&lt;$D16-설정!$B$21,"비중 적음","적정"))))</f>
        <v/>
      </c>
      <c r="G16" s="15">
        <f>IF($A16="","",IF($D16="","",-$E16*보유현황!$D$3))</f>
        <v/>
      </c>
      <c r="H16" s="2" t="n"/>
    </row>
    <row r="17">
      <c r="A17" s="9" t="n"/>
      <c r="B17" s="15">
        <f>IF($A17="","",SUMIFS(보유현황!$K$6:$K$65,보유현황!$C$6:$C$65,$A17))</f>
        <v/>
      </c>
      <c r="C17" s="22">
        <f>IF($A17="","",IFERROR($B17/보유현황!$D$3,0))</f>
        <v/>
      </c>
      <c r="D17" s="24" t="n"/>
      <c r="E17" s="22">
        <f>IF($A17="","",IF($D17="","",$C17-$D17))</f>
        <v/>
      </c>
      <c r="F17" s="23">
        <f>IF($A17="","",IF($D17="","목표 없음",IF($C17&gt;$D17+설정!$B$21,"비중 많음",IF($C17&lt;$D17-설정!$B$21,"비중 적음","적정"))))</f>
        <v/>
      </c>
      <c r="G17" s="15">
        <f>IF($A17="","",IF($D17="","",-$E17*보유현황!$D$3))</f>
        <v/>
      </c>
      <c r="H17" s="2" t="n"/>
    </row>
    <row r="18">
      <c r="A18" s="9" t="n"/>
      <c r="B18" s="15">
        <f>IF($A18="","",SUMIFS(보유현황!$K$6:$K$65,보유현황!$C$6:$C$65,$A18))</f>
        <v/>
      </c>
      <c r="C18" s="22">
        <f>IF($A18="","",IFERROR($B18/보유현황!$D$3,0))</f>
        <v/>
      </c>
      <c r="D18" s="24" t="n"/>
      <c r="E18" s="22">
        <f>IF($A18="","",IF($D18="","",$C18-$D18))</f>
        <v/>
      </c>
      <c r="F18" s="23">
        <f>IF($A18="","",IF($D18="","목표 없음",IF($C18&gt;$D18+설정!$B$21,"비중 많음",IF($C18&lt;$D18-설정!$B$21,"비중 적음","적정"))))</f>
        <v/>
      </c>
      <c r="G18" s="15">
        <f>IF($A18="","",IF($D18="","",-$E18*보유현황!$D$3))</f>
        <v/>
      </c>
      <c r="H18" s="2" t="n"/>
    </row>
    <row r="19">
      <c r="A19" s="9" t="n"/>
      <c r="B19" s="15">
        <f>IF($A19="","",SUMIFS(보유현황!$K$6:$K$65,보유현황!$C$6:$C$65,$A19))</f>
        <v/>
      </c>
      <c r="C19" s="22">
        <f>IF($A19="","",IFERROR($B19/보유현황!$D$3,0))</f>
        <v/>
      </c>
      <c r="D19" s="24" t="n"/>
      <c r="E19" s="22">
        <f>IF($A19="","",IF($D19="","",$C19-$D19))</f>
        <v/>
      </c>
      <c r="F19" s="23">
        <f>IF($A19="","",IF($D19="","목표 없음",IF($C19&gt;$D19+설정!$B$21,"비중 많음",IF($C19&lt;$D19-설정!$B$21,"비중 적음","적정"))))</f>
        <v/>
      </c>
      <c r="G19" s="15">
        <f>IF($A19="","",IF($D19="","",-$E19*보유현황!$D$3))</f>
        <v/>
      </c>
      <c r="H19" s="2" t="n"/>
    </row>
    <row r="20">
      <c r="A20" s="9" t="n"/>
      <c r="B20" s="15">
        <f>IF($A20="","",SUMIFS(보유현황!$K$6:$K$65,보유현황!$C$6:$C$65,$A20))</f>
        <v/>
      </c>
      <c r="C20" s="22">
        <f>IF($A20="","",IFERROR($B20/보유현황!$D$3,0))</f>
        <v/>
      </c>
      <c r="D20" s="24" t="n"/>
      <c r="E20" s="22">
        <f>IF($A20="","",IF($D20="","",$C20-$D20))</f>
        <v/>
      </c>
      <c r="F20" s="23">
        <f>IF($A20="","",IF($D20="","목표 없음",IF($C20&gt;$D20+설정!$B$21,"비중 많음",IF($C20&lt;$D20-설정!$B$21,"비중 적음","적정"))))</f>
        <v/>
      </c>
      <c r="G20" s="15">
        <f>IF($A20="","",IF($D20="","",-$E20*보유현황!$D$3))</f>
        <v/>
      </c>
      <c r="H20" s="2" t="n"/>
    </row>
    <row r="21">
      <c r="A21" s="9" t="n"/>
      <c r="B21" s="15">
        <f>IF($A21="","",SUMIFS(보유현황!$K$6:$K$65,보유현황!$C$6:$C$65,$A21))</f>
        <v/>
      </c>
      <c r="C21" s="22">
        <f>IF($A21="","",IFERROR($B21/보유현황!$D$3,0))</f>
        <v/>
      </c>
      <c r="D21" s="24" t="n"/>
      <c r="E21" s="22">
        <f>IF($A21="","",IF($D21="","",$C21-$D21))</f>
        <v/>
      </c>
      <c r="F21" s="23">
        <f>IF($A21="","",IF($D21="","목표 없음",IF($C21&gt;$D21+설정!$B$21,"비중 많음",IF($C21&lt;$D21-설정!$B$21,"비중 적음","적정"))))</f>
        <v/>
      </c>
      <c r="G21" s="15">
        <f>IF($A21="","",IF($D21="","",-$E21*보유현황!$D$3))</f>
        <v/>
      </c>
      <c r="H21" s="2" t="n"/>
    </row>
    <row r="22">
      <c r="A22" s="9" t="n"/>
      <c r="B22" s="15">
        <f>IF($A22="","",SUMIFS(보유현황!$K$6:$K$65,보유현황!$C$6:$C$65,$A22))</f>
        <v/>
      </c>
      <c r="C22" s="22">
        <f>IF($A22="","",IFERROR($B22/보유현황!$D$3,0))</f>
        <v/>
      </c>
      <c r="D22" s="24" t="n"/>
      <c r="E22" s="22">
        <f>IF($A22="","",IF($D22="","",$C22-$D22))</f>
        <v/>
      </c>
      <c r="F22" s="23">
        <f>IF($A22="","",IF($D22="","목표 없음",IF($C22&gt;$D22+설정!$B$21,"비중 많음",IF($C22&lt;$D22-설정!$B$21,"비중 적음","적정"))))</f>
        <v/>
      </c>
      <c r="G22" s="15">
        <f>IF($A22="","",IF($D22="","",-$E22*보유현황!$D$3))</f>
        <v/>
      </c>
      <c r="H22" s="2" t="n"/>
    </row>
    <row r="23">
      <c r="A23" s="9" t="n"/>
      <c r="B23" s="15">
        <f>IF($A23="","",SUMIFS(보유현황!$K$6:$K$65,보유현황!$C$6:$C$65,$A23))</f>
        <v/>
      </c>
      <c r="C23" s="22">
        <f>IF($A23="","",IFERROR($B23/보유현황!$D$3,0))</f>
        <v/>
      </c>
      <c r="D23" s="24" t="n"/>
      <c r="E23" s="22">
        <f>IF($A23="","",IF($D23="","",$C23-$D23))</f>
        <v/>
      </c>
      <c r="F23" s="23">
        <f>IF($A23="","",IF($D23="","목표 없음",IF($C23&gt;$D23+설정!$B$21,"비중 많음",IF($C23&lt;$D23-설정!$B$21,"비중 적음","적정"))))</f>
        <v/>
      </c>
      <c r="G23" s="15">
        <f>IF($A23="","",IF($D23="","",-$E23*보유현황!$D$3))</f>
        <v/>
      </c>
      <c r="H23" s="2" t="n"/>
    </row>
    <row r="24">
      <c r="A24" s="16" t="inlineStr">
        <is>
          <t>합계</t>
        </is>
      </c>
      <c r="B24" s="25">
        <f>SUM(B4:B23)</f>
        <v/>
      </c>
      <c r="C24" s="26">
        <f>SUM(C4:C23)</f>
        <v/>
      </c>
      <c r="D24" s="26">
        <f>SUM(D4:D23)</f>
        <v/>
      </c>
    </row>
    <row r="26">
      <c r="A26" s="2" t="inlineStr">
        <is>
          <t>조정 금액: + 는 더 사야 할 금액, − 는 팔아야 할 금액입니다.</t>
        </is>
      </c>
    </row>
    <row r="27">
      <c r="A27" s="2" t="inlineStr">
        <is>
          <t>아직 안 가진 항목도 적어두면 "비중 적음" 으로 잡아줍니다. (예: 미국 주식이 하나도 없을 때)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1" customWidth="1" min="4" max="4"/>
    <col width="11" customWidth="1" min="5" max="5"/>
    <col width="14" customWidth="1" min="6" max="6"/>
    <col width="16" customWidth="1" min="7" max="7"/>
    <col width="34" customWidth="1" min="8" max="8"/>
  </cols>
  <sheetData>
    <row r="1">
      <c r="A1" s="1" t="inlineStr">
        <is>
          <t>섹터별</t>
        </is>
      </c>
    </row>
    <row r="2">
      <c r="A2" s="2" t="inlineStr">
        <is>
          <t>섹터별 비중과 목표. 섹터 이름은 종목정보 시트에 적은 것과 똑같이 쓰세요.</t>
        </is>
      </c>
    </row>
    <row r="3" ht="30" customHeight="1">
      <c r="A3" s="8" t="inlineStr">
        <is>
          <t>항목</t>
        </is>
      </c>
      <c r="B3" s="8" t="inlineStr">
        <is>
          <t>평가금액(원)</t>
        </is>
      </c>
      <c r="C3" s="8" t="inlineStr">
        <is>
          <t>현재 비중</t>
        </is>
      </c>
      <c r="D3" s="8" t="inlineStr">
        <is>
          <t>목표 비중</t>
        </is>
      </c>
      <c r="E3" s="8" t="inlineStr">
        <is>
          <t>차이</t>
        </is>
      </c>
      <c r="F3" s="8" t="inlineStr">
        <is>
          <t>판정</t>
        </is>
      </c>
      <c r="G3" s="8" t="inlineStr">
        <is>
          <t>조정 금액(원)</t>
        </is>
      </c>
      <c r="H3" s="8" t="inlineStr">
        <is>
          <t>메모</t>
        </is>
      </c>
    </row>
    <row r="4">
      <c r="A4" s="9" t="inlineStr">
        <is>
          <t>반도체</t>
        </is>
      </c>
      <c r="B4" s="15">
        <f>IF($A4="","",SUMIFS(보유현황!$K$6:$K$65,보유현황!$D$6:$D$65,$A4))</f>
        <v/>
      </c>
      <c r="C4" s="22">
        <f>IF($A4="","",IFERROR($B4/보유현황!$D$3,0))</f>
        <v/>
      </c>
      <c r="D4" s="24" t="n">
        <v>0.3</v>
      </c>
      <c r="E4" s="22">
        <f>IF($A4="","",IF($D4="","",$C4-$D4))</f>
        <v/>
      </c>
      <c r="F4" s="23">
        <f>IF($A4="","",IF($D4="","목표 없음",IF($C4&gt;$D4+설정!$B$22,"비중 많음",IF($C4&lt;$D4-설정!$B$22,"비중 적음","적정"))))</f>
        <v/>
      </c>
      <c r="G4" s="15">
        <f>IF($A4="","",IF($D4="","",-$E4*보유현황!$D$3))</f>
        <v/>
      </c>
      <c r="H4" s="2" t="n"/>
    </row>
    <row r="5">
      <c r="A5" s="9" t="inlineStr">
        <is>
          <t>IT하드웨어</t>
        </is>
      </c>
      <c r="B5" s="15">
        <f>IF($A5="","",SUMIFS(보유현황!$K$6:$K$65,보유현황!$D$6:$D$65,$A5))</f>
        <v/>
      </c>
      <c r="C5" s="22">
        <f>IF($A5="","",IFERROR($B5/보유현황!$D$3,0))</f>
        <v/>
      </c>
      <c r="D5" s="24" t="n">
        <v>0.2</v>
      </c>
      <c r="E5" s="22">
        <f>IF($A5="","",IF($D5="","",$C5-$D5))</f>
        <v/>
      </c>
      <c r="F5" s="23">
        <f>IF($A5="","",IF($D5="","목표 없음",IF($C5&gt;$D5+설정!$B$22,"비중 많음",IF($C5&lt;$D5-설정!$B$22,"비중 적음","적정"))))</f>
        <v/>
      </c>
      <c r="G5" s="15">
        <f>IF($A5="","",IF($D5="","",-$E5*보유현황!$D$3))</f>
        <v/>
      </c>
      <c r="H5" s="2" t="n"/>
    </row>
    <row r="6">
      <c r="A6" s="9" t="inlineStr">
        <is>
          <t>소비재/클라우드</t>
        </is>
      </c>
      <c r="B6" s="15">
        <f>IF($A6="","",SUMIFS(보유현황!$K$6:$K$65,보유현황!$D$6:$D$65,$A6))</f>
        <v/>
      </c>
      <c r="C6" s="22">
        <f>IF($A6="","",IFERROR($B6/보유현황!$D$3,0))</f>
        <v/>
      </c>
      <c r="D6" s="24" t="n">
        <v>0.15</v>
      </c>
      <c r="E6" s="22">
        <f>IF($A6="","",IF($D6="","",$C6-$D6))</f>
        <v/>
      </c>
      <c r="F6" s="23">
        <f>IF($A6="","",IF($D6="","목표 없음",IF($C6&gt;$D6+설정!$B$22,"비중 많음",IF($C6&lt;$D6-설정!$B$22,"비중 적음","적정"))))</f>
        <v/>
      </c>
      <c r="G6" s="15">
        <f>IF($A6="","",IF($D6="","",-$E6*보유현황!$D$3))</f>
        <v/>
      </c>
      <c r="H6" s="2" t="n"/>
    </row>
    <row r="7">
      <c r="A7" s="9" t="inlineStr">
        <is>
          <t>자동차</t>
        </is>
      </c>
      <c r="B7" s="15">
        <f>IF($A7="","",SUMIFS(보유현황!$K$6:$K$65,보유현황!$D$6:$D$65,$A7))</f>
        <v/>
      </c>
      <c r="C7" s="22">
        <f>IF($A7="","",IFERROR($B7/보유현황!$D$3,0))</f>
        <v/>
      </c>
      <c r="D7" s="24" t="n">
        <v>0.15</v>
      </c>
      <c r="E7" s="22">
        <f>IF($A7="","",IF($D7="","",$C7-$D7))</f>
        <v/>
      </c>
      <c r="F7" s="23">
        <f>IF($A7="","",IF($D7="","목표 없음",IF($C7&gt;$D7+설정!$B$22,"비중 많음",IF($C7&lt;$D7-설정!$B$22,"비중 적음","적정"))))</f>
        <v/>
      </c>
      <c r="G7" s="15">
        <f>IF($A7="","",IF($D7="","",-$E7*보유현황!$D$3))</f>
        <v/>
      </c>
      <c r="H7" s="2" t="n"/>
    </row>
    <row r="8">
      <c r="A8" s="9" t="inlineStr">
        <is>
          <t>2차전지</t>
        </is>
      </c>
      <c r="B8" s="15">
        <f>IF($A8="","",SUMIFS(보유현황!$K$6:$K$65,보유현황!$D$6:$D$65,$A8))</f>
        <v/>
      </c>
      <c r="C8" s="22">
        <f>IF($A8="","",IFERROR($B8/보유현황!$D$3,0))</f>
        <v/>
      </c>
      <c r="D8" s="24" t="n">
        <v>0.1</v>
      </c>
      <c r="E8" s="22">
        <f>IF($A8="","",IF($D8="","",$C8-$D8))</f>
        <v/>
      </c>
      <c r="F8" s="23">
        <f>IF($A8="","",IF($D8="","목표 없음",IF($C8&gt;$D8+설정!$B$22,"비중 많음",IF($C8&lt;$D8-설정!$B$22,"비중 적음","적정"))))</f>
        <v/>
      </c>
      <c r="G8" s="15">
        <f>IF($A8="","",IF($D8="","",-$E8*보유현황!$D$3))</f>
        <v/>
      </c>
      <c r="H8" s="2" t="n"/>
    </row>
    <row r="9">
      <c r="A9" s="9" t="inlineStr">
        <is>
          <t>지주/부동산</t>
        </is>
      </c>
      <c r="B9" s="15">
        <f>IF($A9="","",SUMIFS(보유현황!$K$6:$K$65,보유현황!$D$6:$D$65,$A9))</f>
        <v/>
      </c>
      <c r="C9" s="22">
        <f>IF($A9="","",IFERROR($B9/보유현황!$D$3,0))</f>
        <v/>
      </c>
      <c r="D9" s="24" t="n">
        <v>0.1</v>
      </c>
      <c r="E9" s="22">
        <f>IF($A9="","",IF($D9="","",$C9-$D9))</f>
        <v/>
      </c>
      <c r="F9" s="23">
        <f>IF($A9="","",IF($D9="","목표 없음",IF($C9&gt;$D9+설정!$B$22,"비중 많음",IF($C9&lt;$D9-설정!$B$22,"비중 적음","적정"))))</f>
        <v/>
      </c>
      <c r="G9" s="15">
        <f>IF($A9="","",IF($D9="","",-$E9*보유현황!$D$3))</f>
        <v/>
      </c>
      <c r="H9" s="2" t="n"/>
    </row>
    <row r="10">
      <c r="A10" s="9" t="n"/>
      <c r="B10" s="15">
        <f>IF($A10="","",SUMIFS(보유현황!$K$6:$K$65,보유현황!$D$6:$D$65,$A10))</f>
        <v/>
      </c>
      <c r="C10" s="22">
        <f>IF($A10="","",IFERROR($B10/보유현황!$D$3,0))</f>
        <v/>
      </c>
      <c r="D10" s="24" t="n"/>
      <c r="E10" s="22">
        <f>IF($A10="","",IF($D10="","",$C10-$D10))</f>
        <v/>
      </c>
      <c r="F10" s="23">
        <f>IF($A10="","",IF($D10="","목표 없음",IF($C10&gt;$D10+설정!$B$22,"비중 많음",IF($C10&lt;$D10-설정!$B$22,"비중 적음","적정"))))</f>
        <v/>
      </c>
      <c r="G10" s="15">
        <f>IF($A10="","",IF($D10="","",-$E10*보유현황!$D$3))</f>
        <v/>
      </c>
      <c r="H10" s="2" t="n"/>
    </row>
    <row r="11">
      <c r="A11" s="9" t="n"/>
      <c r="B11" s="15">
        <f>IF($A11="","",SUMIFS(보유현황!$K$6:$K$65,보유현황!$D$6:$D$65,$A11))</f>
        <v/>
      </c>
      <c r="C11" s="22">
        <f>IF($A11="","",IFERROR($B11/보유현황!$D$3,0))</f>
        <v/>
      </c>
      <c r="D11" s="24" t="n"/>
      <c r="E11" s="22">
        <f>IF($A11="","",IF($D11="","",$C11-$D11))</f>
        <v/>
      </c>
      <c r="F11" s="23">
        <f>IF($A11="","",IF($D11="","목표 없음",IF($C11&gt;$D11+설정!$B$22,"비중 많음",IF($C11&lt;$D11-설정!$B$22,"비중 적음","적정"))))</f>
        <v/>
      </c>
      <c r="G11" s="15">
        <f>IF($A11="","",IF($D11="","",-$E11*보유현황!$D$3))</f>
        <v/>
      </c>
      <c r="H11" s="2" t="n"/>
    </row>
    <row r="12">
      <c r="A12" s="9" t="n"/>
      <c r="B12" s="15">
        <f>IF($A12="","",SUMIFS(보유현황!$K$6:$K$65,보유현황!$D$6:$D$65,$A12))</f>
        <v/>
      </c>
      <c r="C12" s="22">
        <f>IF($A12="","",IFERROR($B12/보유현황!$D$3,0))</f>
        <v/>
      </c>
      <c r="D12" s="24" t="n"/>
      <c r="E12" s="22">
        <f>IF($A12="","",IF($D12="","",$C12-$D12))</f>
        <v/>
      </c>
      <c r="F12" s="23">
        <f>IF($A12="","",IF($D12="","목표 없음",IF($C12&gt;$D12+설정!$B$22,"비중 많음",IF($C12&lt;$D12-설정!$B$22,"비중 적음","적정"))))</f>
        <v/>
      </c>
      <c r="G12" s="15">
        <f>IF($A12="","",IF($D12="","",-$E12*보유현황!$D$3))</f>
        <v/>
      </c>
      <c r="H12" s="2" t="n"/>
    </row>
    <row r="13">
      <c r="A13" s="9" t="n"/>
      <c r="B13" s="15">
        <f>IF($A13="","",SUMIFS(보유현황!$K$6:$K$65,보유현황!$D$6:$D$65,$A13))</f>
        <v/>
      </c>
      <c r="C13" s="22">
        <f>IF($A13="","",IFERROR($B13/보유현황!$D$3,0))</f>
        <v/>
      </c>
      <c r="D13" s="24" t="n"/>
      <c r="E13" s="22">
        <f>IF($A13="","",IF($D13="","",$C13-$D13))</f>
        <v/>
      </c>
      <c r="F13" s="23">
        <f>IF($A13="","",IF($D13="","목표 없음",IF($C13&gt;$D13+설정!$B$22,"비중 많음",IF($C13&lt;$D13-설정!$B$22,"비중 적음","적정"))))</f>
        <v/>
      </c>
      <c r="G13" s="15">
        <f>IF($A13="","",IF($D13="","",-$E13*보유현황!$D$3))</f>
        <v/>
      </c>
      <c r="H13" s="2" t="n"/>
    </row>
    <row r="14">
      <c r="A14" s="9" t="n"/>
      <c r="B14" s="15">
        <f>IF($A14="","",SUMIFS(보유현황!$K$6:$K$65,보유현황!$D$6:$D$65,$A14))</f>
        <v/>
      </c>
      <c r="C14" s="22">
        <f>IF($A14="","",IFERROR($B14/보유현황!$D$3,0))</f>
        <v/>
      </c>
      <c r="D14" s="24" t="n"/>
      <c r="E14" s="22">
        <f>IF($A14="","",IF($D14="","",$C14-$D14))</f>
        <v/>
      </c>
      <c r="F14" s="23">
        <f>IF($A14="","",IF($D14="","목표 없음",IF($C14&gt;$D14+설정!$B$22,"비중 많음",IF($C14&lt;$D14-설정!$B$22,"비중 적음","적정"))))</f>
        <v/>
      </c>
      <c r="G14" s="15">
        <f>IF($A14="","",IF($D14="","",-$E14*보유현황!$D$3))</f>
        <v/>
      </c>
      <c r="H14" s="2" t="n"/>
    </row>
    <row r="15">
      <c r="A15" s="9" t="n"/>
      <c r="B15" s="15">
        <f>IF($A15="","",SUMIFS(보유현황!$K$6:$K$65,보유현황!$D$6:$D$65,$A15))</f>
        <v/>
      </c>
      <c r="C15" s="22">
        <f>IF($A15="","",IFERROR($B15/보유현황!$D$3,0))</f>
        <v/>
      </c>
      <c r="D15" s="24" t="n"/>
      <c r="E15" s="22">
        <f>IF($A15="","",IF($D15="","",$C15-$D15))</f>
        <v/>
      </c>
      <c r="F15" s="23">
        <f>IF($A15="","",IF($D15="","목표 없음",IF($C15&gt;$D15+설정!$B$22,"비중 많음",IF($C15&lt;$D15-설정!$B$22,"비중 적음","적정"))))</f>
        <v/>
      </c>
      <c r="G15" s="15">
        <f>IF($A15="","",IF($D15="","",-$E15*보유현황!$D$3))</f>
        <v/>
      </c>
      <c r="H15" s="2" t="n"/>
    </row>
    <row r="16">
      <c r="A16" s="9" t="n"/>
      <c r="B16" s="15">
        <f>IF($A16="","",SUMIFS(보유현황!$K$6:$K$65,보유현황!$D$6:$D$65,$A16))</f>
        <v/>
      </c>
      <c r="C16" s="22">
        <f>IF($A16="","",IFERROR($B16/보유현황!$D$3,0))</f>
        <v/>
      </c>
      <c r="D16" s="24" t="n"/>
      <c r="E16" s="22">
        <f>IF($A16="","",IF($D16="","",$C16-$D16))</f>
        <v/>
      </c>
      <c r="F16" s="23">
        <f>IF($A16="","",IF($D16="","목표 없음",IF($C16&gt;$D16+설정!$B$22,"비중 많음",IF($C16&lt;$D16-설정!$B$22,"비중 적음","적정"))))</f>
        <v/>
      </c>
      <c r="G16" s="15">
        <f>IF($A16="","",IF($D16="","",-$E16*보유현황!$D$3))</f>
        <v/>
      </c>
      <c r="H16" s="2" t="n"/>
    </row>
    <row r="17">
      <c r="A17" s="9" t="n"/>
      <c r="B17" s="15">
        <f>IF($A17="","",SUMIFS(보유현황!$K$6:$K$65,보유현황!$D$6:$D$65,$A17))</f>
        <v/>
      </c>
      <c r="C17" s="22">
        <f>IF($A17="","",IFERROR($B17/보유현황!$D$3,0))</f>
        <v/>
      </c>
      <c r="D17" s="24" t="n"/>
      <c r="E17" s="22">
        <f>IF($A17="","",IF($D17="","",$C17-$D17))</f>
        <v/>
      </c>
      <c r="F17" s="23">
        <f>IF($A17="","",IF($D17="","목표 없음",IF($C17&gt;$D17+설정!$B$22,"비중 많음",IF($C17&lt;$D17-설정!$B$22,"비중 적음","적정"))))</f>
        <v/>
      </c>
      <c r="G17" s="15">
        <f>IF($A17="","",IF($D17="","",-$E17*보유현황!$D$3))</f>
        <v/>
      </c>
      <c r="H17" s="2" t="n"/>
    </row>
    <row r="18">
      <c r="A18" s="9" t="n"/>
      <c r="B18" s="15">
        <f>IF($A18="","",SUMIFS(보유현황!$K$6:$K$65,보유현황!$D$6:$D$65,$A18))</f>
        <v/>
      </c>
      <c r="C18" s="22">
        <f>IF($A18="","",IFERROR($B18/보유현황!$D$3,0))</f>
        <v/>
      </c>
      <c r="D18" s="24" t="n"/>
      <c r="E18" s="22">
        <f>IF($A18="","",IF($D18="","",$C18-$D18))</f>
        <v/>
      </c>
      <c r="F18" s="23">
        <f>IF($A18="","",IF($D18="","목표 없음",IF($C18&gt;$D18+설정!$B$22,"비중 많음",IF($C18&lt;$D18-설정!$B$22,"비중 적음","적정"))))</f>
        <v/>
      </c>
      <c r="G18" s="15">
        <f>IF($A18="","",IF($D18="","",-$E18*보유현황!$D$3))</f>
        <v/>
      </c>
      <c r="H18" s="2" t="n"/>
    </row>
    <row r="19">
      <c r="A19" s="9" t="n"/>
      <c r="B19" s="15">
        <f>IF($A19="","",SUMIFS(보유현황!$K$6:$K$65,보유현황!$D$6:$D$65,$A19))</f>
        <v/>
      </c>
      <c r="C19" s="22">
        <f>IF($A19="","",IFERROR($B19/보유현황!$D$3,0))</f>
        <v/>
      </c>
      <c r="D19" s="24" t="n"/>
      <c r="E19" s="22">
        <f>IF($A19="","",IF($D19="","",$C19-$D19))</f>
        <v/>
      </c>
      <c r="F19" s="23">
        <f>IF($A19="","",IF($D19="","목표 없음",IF($C19&gt;$D19+설정!$B$22,"비중 많음",IF($C19&lt;$D19-설정!$B$22,"비중 적음","적정"))))</f>
        <v/>
      </c>
      <c r="G19" s="15">
        <f>IF($A19="","",IF($D19="","",-$E19*보유현황!$D$3))</f>
        <v/>
      </c>
      <c r="H19" s="2" t="n"/>
    </row>
    <row r="20">
      <c r="A20" s="9" t="n"/>
      <c r="B20" s="15">
        <f>IF($A20="","",SUMIFS(보유현황!$K$6:$K$65,보유현황!$D$6:$D$65,$A20))</f>
        <v/>
      </c>
      <c r="C20" s="22">
        <f>IF($A20="","",IFERROR($B20/보유현황!$D$3,0))</f>
        <v/>
      </c>
      <c r="D20" s="24" t="n"/>
      <c r="E20" s="22">
        <f>IF($A20="","",IF($D20="","",$C20-$D20))</f>
        <v/>
      </c>
      <c r="F20" s="23">
        <f>IF($A20="","",IF($D20="","목표 없음",IF($C20&gt;$D20+설정!$B$22,"비중 많음",IF($C20&lt;$D20-설정!$B$22,"비중 적음","적정"))))</f>
        <v/>
      </c>
      <c r="G20" s="15">
        <f>IF($A20="","",IF($D20="","",-$E20*보유현황!$D$3))</f>
        <v/>
      </c>
      <c r="H20" s="2" t="n"/>
    </row>
    <row r="21">
      <c r="A21" s="9" t="n"/>
      <c r="B21" s="15">
        <f>IF($A21="","",SUMIFS(보유현황!$K$6:$K$65,보유현황!$D$6:$D$65,$A21))</f>
        <v/>
      </c>
      <c r="C21" s="22">
        <f>IF($A21="","",IFERROR($B21/보유현황!$D$3,0))</f>
        <v/>
      </c>
      <c r="D21" s="24" t="n"/>
      <c r="E21" s="22">
        <f>IF($A21="","",IF($D21="","",$C21-$D21))</f>
        <v/>
      </c>
      <c r="F21" s="23">
        <f>IF($A21="","",IF($D21="","목표 없음",IF($C21&gt;$D21+설정!$B$22,"비중 많음",IF($C21&lt;$D21-설정!$B$22,"비중 적음","적정"))))</f>
        <v/>
      </c>
      <c r="G21" s="15">
        <f>IF($A21="","",IF($D21="","",-$E21*보유현황!$D$3))</f>
        <v/>
      </c>
      <c r="H21" s="2" t="n"/>
    </row>
    <row r="22">
      <c r="A22" s="9" t="n"/>
      <c r="B22" s="15">
        <f>IF($A22="","",SUMIFS(보유현황!$K$6:$K$65,보유현황!$D$6:$D$65,$A22))</f>
        <v/>
      </c>
      <c r="C22" s="22">
        <f>IF($A22="","",IFERROR($B22/보유현황!$D$3,0))</f>
        <v/>
      </c>
      <c r="D22" s="24" t="n"/>
      <c r="E22" s="22">
        <f>IF($A22="","",IF($D22="","",$C22-$D22))</f>
        <v/>
      </c>
      <c r="F22" s="23">
        <f>IF($A22="","",IF($D22="","목표 없음",IF($C22&gt;$D22+설정!$B$22,"비중 많음",IF($C22&lt;$D22-설정!$B$22,"비중 적음","적정"))))</f>
        <v/>
      </c>
      <c r="G22" s="15">
        <f>IF($A22="","",IF($D22="","",-$E22*보유현황!$D$3))</f>
        <v/>
      </c>
      <c r="H22" s="2" t="n"/>
    </row>
    <row r="23">
      <c r="A23" s="9" t="n"/>
      <c r="B23" s="15">
        <f>IF($A23="","",SUMIFS(보유현황!$K$6:$K$65,보유현황!$D$6:$D$65,$A23))</f>
        <v/>
      </c>
      <c r="C23" s="22">
        <f>IF($A23="","",IFERROR($B23/보유현황!$D$3,0))</f>
        <v/>
      </c>
      <c r="D23" s="24" t="n"/>
      <c r="E23" s="22">
        <f>IF($A23="","",IF($D23="","",$C23-$D23))</f>
        <v/>
      </c>
      <c r="F23" s="23">
        <f>IF($A23="","",IF($D23="","목표 없음",IF($C23&gt;$D23+설정!$B$22,"비중 많음",IF($C23&lt;$D23-설정!$B$22,"비중 적음","적정"))))</f>
        <v/>
      </c>
      <c r="G23" s="15">
        <f>IF($A23="","",IF($D23="","",-$E23*보유현황!$D$3))</f>
        <v/>
      </c>
      <c r="H23" s="2" t="n"/>
    </row>
    <row r="24">
      <c r="A24" s="16" t="inlineStr">
        <is>
          <t>합계</t>
        </is>
      </c>
      <c r="B24" s="25">
        <f>SUM(B4:B23)</f>
        <v/>
      </c>
      <c r="C24" s="26">
        <f>SUM(C4:C23)</f>
        <v/>
      </c>
      <c r="D24" s="26">
        <f>SUM(D4:D23)</f>
        <v/>
      </c>
    </row>
    <row r="26">
      <c r="A26" s="2" t="inlineStr">
        <is>
          <t>조정 금액: + 는 더 사야 할 금액, − 는 팔아야 할 금액입니다.</t>
        </is>
      </c>
    </row>
    <row r="27">
      <c r="A27" s="2" t="inlineStr">
        <is>
          <t>아직 안 가진 항목도 적어두면 "비중 적음" 으로 잡아줍니다. (예: 미국 주식이 하나도 없을 때)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</cols>
  <sheetData>
    <row r="1">
      <c r="A1" s="1" t="inlineStr">
        <is>
          <t>설정</t>
        </is>
      </c>
    </row>
    <row r="2">
      <c r="A2" s="2" t="inlineStr">
        <is>
          <t>환율과 허용오차. 노란 칸만 고치세요.</t>
        </is>
      </c>
    </row>
    <row r="4">
      <c r="A4" s="5" t="inlineStr">
        <is>
          <t>기준통화</t>
        </is>
      </c>
      <c r="B4" s="9" t="inlineStr">
        <is>
          <t>KRW</t>
        </is>
      </c>
      <c r="C4" s="2" t="inlineStr">
        <is>
          <t>모든 금액을 이 통화로 바꿔서 비중을 냅니다.</t>
        </is>
      </c>
    </row>
    <row r="6">
      <c r="A6" s="5" t="inlineStr">
        <is>
          <t>환율</t>
        </is>
      </c>
      <c r="C6" s="2" t="inlineStr">
        <is>
          <t>1 외화 = 몇 원인지 적으세요. 앱 → 설정 → 환율 에서 볼 수 있습니다.</t>
        </is>
      </c>
    </row>
    <row r="7" ht="30" customHeight="1">
      <c r="A7" s="8" t="inlineStr">
        <is>
          <t>통화</t>
        </is>
      </c>
      <c r="B7" s="8" t="inlineStr">
        <is>
          <t>원화 환산</t>
        </is>
      </c>
      <c r="C7" s="8" t="inlineStr">
        <is>
          <t>메모</t>
        </is>
      </c>
    </row>
    <row r="8">
      <c r="A8" s="9" t="inlineStr">
        <is>
          <t>KRW</t>
        </is>
      </c>
      <c r="B8" s="27" t="n">
        <v>1</v>
      </c>
      <c r="C8" s="11" t="inlineStr">
        <is>
          <t>기준통화</t>
        </is>
      </c>
    </row>
    <row r="9">
      <c r="A9" s="9" t="inlineStr">
        <is>
          <t>USD</t>
        </is>
      </c>
      <c r="B9" s="27" t="n">
        <v>1340</v>
      </c>
      <c r="C9" s="11" t="inlineStr">
        <is>
          <t>미국 달러</t>
        </is>
      </c>
    </row>
    <row r="10">
      <c r="A10" s="9" t="inlineStr">
        <is>
          <t>VND</t>
        </is>
      </c>
      <c r="B10" s="27" t="n">
        <v>0.0525</v>
      </c>
      <c r="C10" s="11" t="inlineStr">
        <is>
          <t>베트남 동</t>
        </is>
      </c>
    </row>
    <row r="11">
      <c r="A11" s="9" t="inlineStr">
        <is>
          <t>JPY</t>
        </is>
      </c>
      <c r="B11" s="27" t="n">
        <v>9.1</v>
      </c>
      <c r="C11" s="11" t="inlineStr">
        <is>
          <t>일본 엔</t>
        </is>
      </c>
    </row>
    <row r="12">
      <c r="A12" s="9" t="inlineStr">
        <is>
          <t>EUR</t>
        </is>
      </c>
      <c r="B12" s="27" t="n">
        <v>1450</v>
      </c>
      <c r="C12" s="11" t="inlineStr">
        <is>
          <t>유로</t>
        </is>
      </c>
    </row>
    <row r="13">
      <c r="A13" s="9" t="inlineStr">
        <is>
          <t>HKD</t>
        </is>
      </c>
      <c r="B13" s="27" t="n">
        <v>172</v>
      </c>
      <c r="C13" s="11" t="inlineStr">
        <is>
          <t>홍콩 달러</t>
        </is>
      </c>
    </row>
    <row r="14">
      <c r="A14" s="9" t="inlineStr">
        <is>
          <t>CNY</t>
        </is>
      </c>
      <c r="B14" s="27" t="n">
        <v>186</v>
      </c>
      <c r="C14" s="11" t="inlineStr">
        <is>
          <t>중국 위안</t>
        </is>
      </c>
    </row>
    <row r="15">
      <c r="A15" s="9" t="inlineStr">
        <is>
          <t>GBP</t>
        </is>
      </c>
      <c r="B15" s="27" t="n">
        <v>1700</v>
      </c>
      <c r="C15" s="11" t="inlineStr">
        <is>
          <t>영국 파운드</t>
        </is>
      </c>
    </row>
    <row r="20">
      <c r="A20" s="5" t="inlineStr">
        <is>
          <t>허용오차</t>
        </is>
      </c>
      <c r="C20" s="2" t="inlineStr">
        <is>
          <t>목표에서 이만큼까지는 "적정" 으로 봅니다. 5%p 면 0.05 를 넣으세요.</t>
        </is>
      </c>
    </row>
    <row r="21">
      <c r="A21" s="3" t="inlineStr">
        <is>
          <t>국가별</t>
        </is>
      </c>
      <c r="B21" s="24" t="n">
        <v>0.05</v>
      </c>
    </row>
    <row r="22">
      <c r="A22" s="3" t="inlineStr">
        <is>
          <t>섹터별</t>
        </is>
      </c>
      <c r="B22" s="24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2026-08-27T03:36:32Z</dcterms:created>
  <dcterms:modified xsi:type="dcterms:W3CDTF">2026-08-27T03:36:32Z</dcterms:modified>
</cp:coreProperties>
</file>